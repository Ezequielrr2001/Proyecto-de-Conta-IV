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PROYECTO INFORMATICA\"/>
    </mc:Choice>
  </mc:AlternateContent>
  <xr:revisionPtr revIDLastSave="0" documentId="13_ncr:1_{2946EA67-7654-420E-81F9-4AD8B5C8FFAF}" xr6:coauthVersionLast="47" xr6:coauthVersionMax="47" xr10:uidLastSave="{00000000-0000-0000-0000-000000000000}"/>
  <bookViews>
    <workbookView xWindow="-108" yWindow="-108" windowWidth="23256" windowHeight="12456" xr2:uid="{1F01CC4C-9068-4FCE-9C72-E5DF7C2B9F42}"/>
  </bookViews>
  <sheets>
    <sheet name="INICIO" sheetId="1" r:id="rId1"/>
    <sheet name="REGISTRO DE COMPRAS" sheetId="2" r:id="rId2"/>
    <sheet name="BD - COMPRAS REGISTRADAS" sheetId="3" r:id="rId3"/>
    <sheet name="D-105" sheetId="4" r:id="rId4"/>
  </sheets>
  <externalReferences>
    <externalReference r:id="rId5"/>
  </externalReferences>
  <definedNames>
    <definedName name="COMPRA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12" i="4" l="1"/>
  <c r="D14" i="4"/>
  <c r="C8" i="4"/>
  <c r="E14" i="4" l="1"/>
  <c r="E12" i="4"/>
</calcChain>
</file>

<file path=xl/sharedStrings.xml><?xml version="1.0" encoding="utf-8"?>
<sst xmlns="http://schemas.openxmlformats.org/spreadsheetml/2006/main" count="45" uniqueCount="39">
  <si>
    <t>Registro de Compras</t>
  </si>
  <si>
    <t>Fecha</t>
  </si>
  <si>
    <t>Proveedor</t>
  </si>
  <si>
    <t>Monto</t>
  </si>
  <si>
    <t>Detalle</t>
  </si>
  <si>
    <t>PALI</t>
  </si>
  <si>
    <t>LECHE</t>
  </si>
  <si>
    <t>WALMART</t>
  </si>
  <si>
    <t>CEREAL</t>
  </si>
  <si>
    <t>Base de Datos - Compras</t>
  </si>
  <si>
    <t>Cálculo de Impuesto para Regimen Simplificado</t>
  </si>
  <si>
    <t>Total de Compras</t>
  </si>
  <si>
    <t>Total de Compras:</t>
  </si>
  <si>
    <t>Factor</t>
  </si>
  <si>
    <t>Total a Pagar</t>
  </si>
  <si>
    <t>Impuesto de Valor Agregado (IVA) por Pagar</t>
  </si>
  <si>
    <t>Impuesto sobre la Renta</t>
  </si>
  <si>
    <t>GALLETAS Y CAFÉ</t>
  </si>
  <si>
    <t>COMPRE BIEN</t>
  </si>
  <si>
    <t>POLLO</t>
  </si>
  <si>
    <t>MAXI PALI</t>
  </si>
  <si>
    <t>SANDALIAS</t>
  </si>
  <si>
    <t>SABE MAS</t>
  </si>
  <si>
    <t>SHAMPOO</t>
  </si>
  <si>
    <t>TOSTI</t>
  </si>
  <si>
    <t>CHIRRULITOS</t>
  </si>
  <si>
    <t>POZUELO</t>
  </si>
  <si>
    <t>MARIAS</t>
  </si>
  <si>
    <t>J&amp;J</t>
  </si>
  <si>
    <t>LAPICES</t>
  </si>
  <si>
    <t>COLONIA</t>
  </si>
  <si>
    <t>M&amp;M</t>
  </si>
  <si>
    <t>CHOCOLATES</t>
  </si>
  <si>
    <t>MARUCHAN</t>
  </si>
  <si>
    <t>CAMARONES</t>
  </si>
  <si>
    <t>GERBER</t>
  </si>
  <si>
    <t>FRUTAS</t>
  </si>
  <si>
    <t>SOCKS</t>
  </si>
  <si>
    <t>PAMPERS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</si>
</sst>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entury Gothic"/>
      <family val="2"/>
      <scheme val="minor"/>
    </font>
    <font>
      <sz val="14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4"/>
      <color theme="1"/>
      <name val="Century Gothic"/>
      <family val="2"/>
      <scheme val="major"/>
    </font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u val="singleAccounting"/>
      <sz val="11"/>
      <color theme="1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60">
    <xf numFmtId="0" fontId="0" fillId="0" borderId="0" xfId="0"/>
    <xf numFmtId="0" fontId="1" fillId="0" borderId="0" xfId="0" applyFont="1"/>
    <xf numFmtId="0" fontId="2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43" fontId="6" fillId="0" borderId="0" xfId="0" applyNumberFormat="1" applyFont="1"/>
    <xf numFmtId="0" fontId="6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9" fontId="6" fillId="0" borderId="0" xfId="1" applyFont="1" applyAlignment="1">
      <alignment horizontal="center"/>
    </xf>
    <xf numFmtId="39" fontId="7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0" borderId="0" xfId="0" applyFont="1" applyProtection="1"/>
    <xf numFmtId="0" fontId="4" fillId="0" borderId="1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4" fillId="0" borderId="3" xfId="0" applyFont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4" fillId="0" borderId="5" xfId="0" applyFont="1" applyBorder="1" applyAlignment="1" applyProtection="1">
      <alignment vertical="center"/>
    </xf>
    <xf numFmtId="0" fontId="4" fillId="0" borderId="6" xfId="0" applyFont="1" applyBorder="1" applyAlignment="1" applyProtection="1">
      <alignment vertical="center"/>
    </xf>
    <xf numFmtId="0" fontId="4" fillId="0" borderId="7" xfId="0" applyFont="1" applyBorder="1" applyAlignment="1" applyProtection="1">
      <alignment vertical="center"/>
    </xf>
    <xf numFmtId="0" fontId="4" fillId="0" borderId="8" xfId="0" applyFont="1" applyBorder="1" applyAlignment="1" applyProtection="1">
      <alignment vertical="center"/>
    </xf>
    <xf numFmtId="0" fontId="3" fillId="0" borderId="0" xfId="0" applyFont="1" applyProtection="1"/>
    <xf numFmtId="0" fontId="3" fillId="0" borderId="0" xfId="0" applyFont="1" applyAlignment="1" applyProtection="1">
      <alignment horizontal="left"/>
    </xf>
    <xf numFmtId="14" fontId="3" fillId="0" borderId="0" xfId="0" applyNumberFormat="1" applyFont="1" applyProtection="1"/>
    <xf numFmtId="14" fontId="3" fillId="2" borderId="6" xfId="0" applyNumberFormat="1" applyFont="1" applyFill="1" applyBorder="1" applyAlignment="1" applyProtection="1">
      <alignment horizontal="left"/>
      <protection locked="0"/>
    </xf>
    <xf numFmtId="43" fontId="3" fillId="2" borderId="6" xfId="0" applyNumberFormat="1" applyFont="1" applyFill="1" applyBorder="1" applyAlignment="1" applyProtection="1">
      <alignment horizontal="left"/>
      <protection locked="0"/>
    </xf>
    <xf numFmtId="14" fontId="6" fillId="0" borderId="0" xfId="0" applyNumberFormat="1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left"/>
      <protection locked="0"/>
    </xf>
    <xf numFmtId="39" fontId="6" fillId="0" borderId="0" xfId="0" applyNumberFormat="1" applyFont="1" applyAlignment="1" applyProtection="1">
      <alignment horizontal="left"/>
      <protection locked="0"/>
    </xf>
    <xf numFmtId="14" fontId="0" fillId="0" borderId="0" xfId="0" applyNumberFormat="1" applyProtection="1"/>
    <xf numFmtId="0" fontId="0" fillId="0" borderId="0" xfId="0" applyProtection="1"/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14" fontId="3" fillId="2" borderId="6" xfId="0" applyNumberFormat="1" applyFont="1" applyFill="1" applyBorder="1" applyAlignment="1" applyProtection="1">
      <alignment horizontal="left"/>
      <protection locked="0"/>
    </xf>
    <xf numFmtId="14" fontId="3" fillId="2" borderId="7" xfId="0" applyNumberFormat="1" applyFont="1" applyFill="1" applyBorder="1" applyAlignment="1" applyProtection="1">
      <alignment horizontal="left"/>
      <protection locked="0"/>
    </xf>
    <xf numFmtId="0" fontId="3" fillId="0" borderId="0" xfId="0" applyNumberFormat="1" applyFont="1" applyAlignment="1" applyProtection="1">
      <alignment horizontal="left"/>
    </xf>
    <xf numFmtId="0" fontId="4" fillId="0" borderId="2" xfId="0" applyNumberFormat="1" applyFont="1" applyBorder="1" applyAlignment="1" applyProtection="1">
      <alignment vertical="center"/>
    </xf>
    <xf numFmtId="0" fontId="4" fillId="0" borderId="0" xfId="0" applyNumberFormat="1" applyFont="1" applyAlignment="1" applyProtection="1">
      <alignment vertical="center"/>
    </xf>
    <xf numFmtId="0" fontId="4" fillId="0" borderId="7" xfId="0" applyNumberFormat="1" applyFont="1" applyBorder="1" applyAlignment="1" applyProtection="1">
      <alignment vertical="center"/>
    </xf>
    <xf numFmtId="0" fontId="3" fillId="2" borderId="6" xfId="0" applyNumberFormat="1" applyFont="1" applyFill="1" applyBorder="1" applyAlignment="1" applyProtection="1">
      <alignment horizontal="left"/>
      <protection locked="0"/>
    </xf>
    <xf numFmtId="0" fontId="3" fillId="2" borderId="7" xfId="0" applyNumberFormat="1" applyFont="1" applyFill="1" applyBorder="1" applyAlignment="1" applyProtection="1">
      <alignment horizontal="left"/>
      <protection locked="0"/>
    </xf>
  </cellXfs>
  <cellStyles count="2">
    <cellStyle name="Normal" xfId="0" builtinId="0"/>
    <cellStyle name="Porcentaje" xfId="1" builtinId="5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protection locked="0" hidden="0"/>
    </dxf>
    <dxf>
      <font>
        <b/>
      </font>
      <alignment horizontal="left" vertical="bottom" textRotation="0" wrapText="0" indent="0" justifyLastLine="0" shrinkToFit="0" readingOrder="0"/>
      <protection locked="0" hidden="0"/>
    </dxf>
    <dxf>
      <font>
        <b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</font>
      <alignment horizontal="left" vertical="bottom" textRotation="0" wrapText="0" indent="0" justifyLastLine="0" shrinkToFit="0" readingOrder="0"/>
      <protection locked="0" hidden="0"/>
    </dxf>
    <dxf>
      <font>
        <b/>
      </font>
      <numFmt numFmtId="19" formatCode="dd/mm/yyyy"/>
      <alignment horizontal="left" vertical="bottom" textRotation="0" wrapText="0" indent="0" justifyLastLine="0" shrinkToFit="0" readingOrder="0"/>
      <protection locked="0" hidden="0"/>
    </dxf>
    <dxf>
      <font>
        <b/>
      </font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986322</xdr:colOff>
      <xdr:row>6</xdr:row>
      <xdr:rowOff>113041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AFC1215-7322-A5BE-EB96-AA71366A6B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39" t="4736" r="265" b="4596"/>
        <a:stretch/>
      </xdr:blipFill>
      <xdr:spPr>
        <a:xfrm>
          <a:off x="0" y="1"/>
          <a:ext cx="14146062" cy="1393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18</xdr:row>
      <xdr:rowOff>22860</xdr:rowOff>
    </xdr:from>
    <xdr:to>
      <xdr:col>3</xdr:col>
      <xdr:colOff>975360</xdr:colOff>
      <xdr:row>20</xdr:row>
      <xdr:rowOff>60960</xdr:rowOff>
    </xdr:to>
    <xdr:sp macro="[0]!REGISTRAR_COMPRA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F6804A1F-C9BA-1B85-9D3D-263BAAB454E9}"/>
            </a:ext>
          </a:extLst>
        </xdr:cNvPr>
        <xdr:cNvSpPr/>
      </xdr:nvSpPr>
      <xdr:spPr>
        <a:xfrm>
          <a:off x="1409700" y="345186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Registrar Compra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20</xdr:row>
      <xdr:rowOff>0</xdr:rowOff>
    </xdr:from>
    <xdr:to>
      <xdr:col>2</xdr:col>
      <xdr:colOff>279400</xdr:colOff>
      <xdr:row>20</xdr:row>
      <xdr:rowOff>12700</xdr:rowOff>
    </xdr:to>
    <xdr:sp macro="[1]!dp_core.gridDP_Click" textlink="">
      <xdr:nvSpPr>
        <xdr:cNvPr id="13" name="Rectángulo 12">
          <a:extLst>
            <a:ext uri="{FF2B5EF4-FFF2-40B4-BE49-F238E27FC236}">
              <a16:creationId xmlns:a16="http://schemas.microsoft.com/office/drawing/2014/main" id="{8A6FF549-C056-05FF-4C25-74E6263DDB3D}"/>
            </a:ext>
          </a:extLst>
        </xdr:cNvPr>
        <xdr:cNvSpPr/>
      </xdr:nvSpPr>
      <xdr:spPr>
        <a:xfrm>
          <a:off x="3611880" y="22860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\Microsoft%20Office\Root\Office16\xlstart\samradapps_datepicker.xlam" TargetMode="External"/><Relationship Id="rId1" Type="http://schemas.openxmlformats.org/officeDocument/2006/relationships/externalLinkPath" Target="file:///C:\Program%20Files\Microsoft%20Office\Root\Office16\xlstart\samradapps_datepick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p_core.gridDP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5B14C8-D1EA-4CD9-B91C-5E996F84EF8D}" name="COMPRAS_REGISTRADAS" displayName="COMPRAS_REGISTRADAS" ref="B6:E21" totalsRowCount="1" headerRowDxfId="10" dataDxfId="8" totalsRowDxfId="9">
  <autoFilter ref="B6:E20" xr:uid="{985B14C8-D1EA-4CD9-B91C-5E996F84EF8D}">
    <filterColumn colId="0" hiddenButton="1"/>
    <filterColumn colId="1" hiddenButton="1"/>
    <filterColumn colId="2" hiddenButton="1"/>
    <filterColumn colId="3" hiddenButton="1"/>
  </autoFilter>
  <tableColumns count="4">
    <tableColumn id="1" xr3:uid="{3154C569-6DF8-4A1D-8C74-6EE2B3D41D2C}" name="Fecha" dataDxfId="7" totalsRowDxfId="3"/>
    <tableColumn id="2" xr3:uid="{7B8C939E-3087-41E9-8DDD-8C635ABF566D}" name="Proveedor" totalsRowLabel="Total de Compras:" dataDxfId="6" totalsRowDxfId="2"/>
    <tableColumn id="3" xr3:uid="{DCCD1FD9-397E-4011-B59B-14A5F4D8D903}" name="Monto" totalsRowFunction="sum" dataDxfId="5" totalsRowDxfId="1"/>
    <tableColumn id="4" xr3:uid="{4097F677-2AB8-4D35-9A96-EB3A3DEAF736}" name="Detalle" dataDxfId="4" totalsRowDxfId="0"/>
  </tableColumns>
  <tableStyleInfo name="TableStyleLight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avon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avo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5000"/>
                <a:lumMod val="105000"/>
              </a:schemeClr>
            </a:gs>
            <a:gs pos="100000">
              <a:schemeClr val="phClr">
                <a:tint val="65000"/>
                <a:satMod val="100000"/>
                <a:lumMod val="10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0000"/>
                <a:lumMod val="100000"/>
              </a:schemeClr>
            </a:gs>
            <a:gs pos="50000">
              <a:schemeClr val="phClr">
                <a:shade val="99000"/>
                <a:satMod val="105000"/>
                <a:lumMod val="100000"/>
              </a:schemeClr>
            </a:gs>
            <a:gs pos="100000">
              <a:schemeClr val="phClr">
                <a:shade val="98000"/>
                <a:satMod val="105000"/>
                <a:lumMod val="100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2700" dir="5400000" algn="ctr" rotWithShape="0">
              <a:srgbClr val="000000">
                <a:alpha val="63000"/>
              </a:srgbClr>
            </a:outerShdw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flat" dir="tl">
              <a:rot lat="0" lon="0" rev="4200000"/>
            </a:lightRig>
          </a:scene3d>
          <a:sp3d prstMaterial="flat">
            <a:bevelT w="50800" h="63500" prst="ribl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2000"/>
                <a:satMod val="160000"/>
              </a:schemeClr>
            </a:gs>
            <a:gs pos="77000">
              <a:schemeClr val="phClr">
                <a:tint val="100000"/>
                <a:shade val="73000"/>
                <a:satMod val="155000"/>
              </a:schemeClr>
            </a:gs>
            <a:gs pos="100000">
              <a:schemeClr val="phClr">
                <a:tint val="100000"/>
                <a:shade val="67000"/>
                <a:satMod val="145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2000"/>
                <a:satMod val="115000"/>
              </a:schemeClr>
            </a:duotone>
          </a:blip>
          <a:tile tx="0" ty="0" sx="60000" sy="6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avon" id="{1306E473-ED32-493B-A2D0-240A757EDD34}" vid="{C20BADFE-D095-436F-9677-9264042809F0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632E7-FA0A-4964-A9FA-B47EFB915099}">
  <sheetPr codeName="Hoja1"/>
  <dimension ref="A1"/>
  <sheetViews>
    <sheetView showGridLines="0" tabSelected="1" zoomScaleNormal="100" workbookViewId="0">
      <selection activeCell="A7" sqref="A7"/>
    </sheetView>
  </sheetViews>
  <sheetFormatPr baseColWidth="10" defaultColWidth="15.69921875" defaultRowHeight="16.8" customHeight="1" x14ac:dyDescent="0.25"/>
  <cols>
    <col min="1" max="16384" width="15.699218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054C-802E-4C59-8569-B1418D439DE1}">
  <sheetPr codeName="Hoja2"/>
  <dimension ref="B2:H14"/>
  <sheetViews>
    <sheetView showGridLines="0" zoomScaleNormal="100" workbookViewId="0">
      <selection activeCell="D10" sqref="D10:F10"/>
    </sheetView>
  </sheetViews>
  <sheetFormatPr baseColWidth="10" defaultColWidth="15.69921875" defaultRowHeight="15" customHeight="1" x14ac:dyDescent="0.25"/>
  <cols>
    <col min="1" max="1" width="15.69921875" style="21"/>
    <col min="2" max="2" width="15.69921875" style="32"/>
    <col min="3" max="3" width="5.69921875" style="21" customWidth="1"/>
    <col min="4" max="4" width="15.69921875" style="54" customWidth="1"/>
    <col min="5" max="16384" width="15.69921875" style="21"/>
  </cols>
  <sheetData>
    <row r="2" spans="2:8" ht="15" customHeight="1" x14ac:dyDescent="0.25">
      <c r="B2" s="22" t="s">
        <v>0</v>
      </c>
      <c r="C2" s="23"/>
      <c r="D2" s="55"/>
      <c r="E2" s="23"/>
      <c r="F2" s="23"/>
      <c r="G2" s="23"/>
      <c r="H2" s="24"/>
    </row>
    <row r="3" spans="2:8" ht="15" customHeight="1" x14ac:dyDescent="0.25">
      <c r="B3" s="25"/>
      <c r="C3" s="26"/>
      <c r="D3" s="56"/>
      <c r="E3" s="26"/>
      <c r="F3" s="26"/>
      <c r="G3" s="26"/>
      <c r="H3" s="27"/>
    </row>
    <row r="4" spans="2:8" ht="15" customHeight="1" x14ac:dyDescent="0.25">
      <c r="B4" s="28"/>
      <c r="C4" s="29"/>
      <c r="D4" s="57"/>
      <c r="E4" s="29"/>
      <c r="F4" s="29"/>
      <c r="G4" s="29"/>
      <c r="H4" s="30"/>
    </row>
    <row r="8" spans="2:8" s="31" customFormat="1" ht="15" customHeight="1" x14ac:dyDescent="0.25">
      <c r="B8" s="32" t="s">
        <v>1</v>
      </c>
      <c r="C8" s="33"/>
      <c r="D8" s="34"/>
    </row>
    <row r="10" spans="2:8" ht="15" customHeight="1" x14ac:dyDescent="0.25">
      <c r="B10" s="32" t="s">
        <v>2</v>
      </c>
      <c r="D10" s="52"/>
      <c r="E10" s="53"/>
      <c r="F10" s="53"/>
      <c r="G10" s="31"/>
      <c r="H10" s="31"/>
    </row>
    <row r="12" spans="2:8" ht="15" customHeight="1" x14ac:dyDescent="0.25">
      <c r="B12" s="32" t="s">
        <v>3</v>
      </c>
      <c r="D12" s="35"/>
    </row>
    <row r="14" spans="2:8" ht="15" customHeight="1" x14ac:dyDescent="0.25">
      <c r="B14" s="32" t="s">
        <v>4</v>
      </c>
      <c r="D14" s="58"/>
      <c r="E14" s="59"/>
      <c r="F14" s="59"/>
      <c r="G14" s="59"/>
      <c r="H14" s="59"/>
    </row>
  </sheetData>
  <mergeCells count="2">
    <mergeCell ref="D14:H14"/>
    <mergeCell ref="D10:F10"/>
  </mergeCells>
  <dataValidations count="1">
    <dataValidation type="list" allowBlank="1" sqref="D10" xr:uid="{D297980C-C4F6-43BA-AC08-93381C078ABB}">
      <formula1>INDIRECT("COMPRAS_REGISTRADAS[Proveedor]")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0F276-BA16-4D1F-9E83-A5CC83B4AC4E}">
  <sheetPr codeName="Hoja3"/>
  <dimension ref="A2:H21"/>
  <sheetViews>
    <sheetView showGridLines="0" workbookViewId="0">
      <selection activeCell="D23" sqref="D23"/>
    </sheetView>
  </sheetViews>
  <sheetFormatPr baseColWidth="10" defaultColWidth="15.69921875" defaultRowHeight="15" customHeight="1" x14ac:dyDescent="0.25"/>
  <cols>
    <col min="1" max="1" width="15.69921875" style="40"/>
    <col min="2" max="2" width="30.69921875" style="51" customWidth="1"/>
    <col min="3" max="3" width="45.69921875" style="51" customWidth="1"/>
    <col min="4" max="4" width="30.69921875" style="51" customWidth="1"/>
    <col min="5" max="5" width="45.69921875" style="51" customWidth="1"/>
    <col min="6" max="16384" width="15.69921875" style="40"/>
  </cols>
  <sheetData>
    <row r="2" spans="1:8" s="21" customFormat="1" ht="15" customHeight="1" x14ac:dyDescent="0.25">
      <c r="B2" s="41" t="s">
        <v>9</v>
      </c>
      <c r="C2" s="42"/>
      <c r="D2" s="42"/>
      <c r="E2" s="43"/>
      <c r="F2" s="26"/>
      <c r="G2" s="26"/>
      <c r="H2" s="26"/>
    </row>
    <row r="3" spans="1:8" s="21" customFormat="1" ht="15" customHeight="1" x14ac:dyDescent="0.25">
      <c r="B3" s="44"/>
      <c r="C3" s="45"/>
      <c r="D3" s="45"/>
      <c r="E3" s="46"/>
      <c r="F3" s="26"/>
      <c r="G3" s="26"/>
      <c r="H3" s="26"/>
    </row>
    <row r="4" spans="1:8" s="21" customFormat="1" ht="15" customHeight="1" x14ac:dyDescent="0.25">
      <c r="B4" s="47"/>
      <c r="C4" s="48"/>
      <c r="D4" s="48"/>
      <c r="E4" s="49"/>
      <c r="F4" s="26"/>
      <c r="G4" s="26"/>
      <c r="H4" s="26"/>
    </row>
    <row r="6" spans="1:8" ht="15" customHeight="1" x14ac:dyDescent="0.25">
      <c r="A6" s="39"/>
      <c r="B6" s="50" t="s">
        <v>1</v>
      </c>
      <c r="C6" s="50" t="s">
        <v>2</v>
      </c>
      <c r="D6" s="50" t="s">
        <v>3</v>
      </c>
      <c r="E6" s="50" t="s">
        <v>4</v>
      </c>
    </row>
    <row r="7" spans="1:8" ht="15" customHeight="1" x14ac:dyDescent="0.25">
      <c r="B7" s="36">
        <v>45381</v>
      </c>
      <c r="C7" s="37" t="s">
        <v>5</v>
      </c>
      <c r="D7" s="38">
        <v>5000</v>
      </c>
      <c r="E7" s="37" t="s">
        <v>6</v>
      </c>
    </row>
    <row r="8" spans="1:8" ht="15" customHeight="1" x14ac:dyDescent="0.25">
      <c r="B8" s="36">
        <v>45356</v>
      </c>
      <c r="C8" s="37" t="s">
        <v>7</v>
      </c>
      <c r="D8" s="38">
        <v>2000</v>
      </c>
      <c r="E8" s="37" t="s">
        <v>8</v>
      </c>
    </row>
    <row r="9" spans="1:8" ht="15" customHeight="1" x14ac:dyDescent="0.25">
      <c r="B9" s="36">
        <v>45363</v>
      </c>
      <c r="C9" s="37" t="s">
        <v>18</v>
      </c>
      <c r="D9" s="38">
        <v>14525</v>
      </c>
      <c r="E9" s="37" t="s">
        <v>17</v>
      </c>
    </row>
    <row r="10" spans="1:8" ht="15" customHeight="1" x14ac:dyDescent="0.25">
      <c r="B10" s="36">
        <v>45354</v>
      </c>
      <c r="C10" s="37" t="s">
        <v>5</v>
      </c>
      <c r="D10" s="38">
        <v>8906</v>
      </c>
      <c r="E10" s="37" t="s">
        <v>19</v>
      </c>
    </row>
    <row r="11" spans="1:8" ht="15" customHeight="1" x14ac:dyDescent="0.25">
      <c r="B11" s="36">
        <v>45244</v>
      </c>
      <c r="C11" s="37" t="s">
        <v>20</v>
      </c>
      <c r="D11" s="38">
        <v>333</v>
      </c>
      <c r="E11" s="37" t="s">
        <v>21</v>
      </c>
    </row>
    <row r="12" spans="1:8" ht="15" customHeight="1" x14ac:dyDescent="0.25">
      <c r="B12" s="36">
        <v>45358</v>
      </c>
      <c r="C12" s="37" t="s">
        <v>22</v>
      </c>
      <c r="D12" s="38">
        <v>80123</v>
      </c>
      <c r="E12" s="37" t="s">
        <v>23</v>
      </c>
    </row>
    <row r="13" spans="1:8" ht="15" customHeight="1" x14ac:dyDescent="0.25">
      <c r="B13" s="36">
        <v>45361</v>
      </c>
      <c r="C13" s="37" t="s">
        <v>24</v>
      </c>
      <c r="D13" s="38">
        <v>45000</v>
      </c>
      <c r="E13" s="37" t="s">
        <v>25</v>
      </c>
    </row>
    <row r="14" spans="1:8" ht="15" customHeight="1" x14ac:dyDescent="0.25">
      <c r="B14" s="36">
        <v>45307</v>
      </c>
      <c r="C14" s="37" t="s">
        <v>26</v>
      </c>
      <c r="D14" s="38">
        <v>23600</v>
      </c>
      <c r="E14" s="37" t="s">
        <v>27</v>
      </c>
    </row>
    <row r="15" spans="1:8" ht="15" customHeight="1" x14ac:dyDescent="0.25">
      <c r="B15" s="36">
        <v>45246</v>
      </c>
      <c r="C15" s="37" t="s">
        <v>7</v>
      </c>
      <c r="D15" s="38">
        <v>85023</v>
      </c>
      <c r="E15" s="37" t="s">
        <v>29</v>
      </c>
    </row>
    <row r="16" spans="1:8" ht="15" customHeight="1" x14ac:dyDescent="0.25">
      <c r="B16" s="36">
        <v>45246</v>
      </c>
      <c r="C16" s="37" t="s">
        <v>28</v>
      </c>
      <c r="D16" s="38">
        <v>2300</v>
      </c>
      <c r="E16" s="37" t="s">
        <v>30</v>
      </c>
    </row>
    <row r="17" spans="2:5" ht="15" customHeight="1" x14ac:dyDescent="0.25">
      <c r="B17" s="36">
        <v>45246</v>
      </c>
      <c r="C17" s="37" t="s">
        <v>31</v>
      </c>
      <c r="D17" s="38">
        <v>6200</v>
      </c>
      <c r="E17" s="37" t="s">
        <v>32</v>
      </c>
    </row>
    <row r="18" spans="2:5" ht="15" customHeight="1" x14ac:dyDescent="0.25">
      <c r="B18" s="36">
        <v>45242</v>
      </c>
      <c r="C18" s="37" t="s">
        <v>33</v>
      </c>
      <c r="D18" s="38">
        <v>2000</v>
      </c>
      <c r="E18" s="37" t="s">
        <v>34</v>
      </c>
    </row>
    <row r="19" spans="2:5" ht="15" customHeight="1" x14ac:dyDescent="0.25">
      <c r="B19" s="36">
        <v>45299</v>
      </c>
      <c r="C19" s="37" t="s">
        <v>35</v>
      </c>
      <c r="D19" s="38">
        <v>15000</v>
      </c>
      <c r="E19" s="37" t="s">
        <v>36</v>
      </c>
    </row>
    <row r="20" spans="2:5" ht="15" customHeight="1" x14ac:dyDescent="0.25">
      <c r="B20" s="36">
        <v>45355</v>
      </c>
      <c r="C20" s="37" t="s">
        <v>38</v>
      </c>
      <c r="D20" s="38">
        <v>56000</v>
      </c>
      <c r="E20" s="37" t="s">
        <v>37</v>
      </c>
    </row>
    <row r="21" spans="2:5" ht="15" customHeight="1" x14ac:dyDescent="0.25">
      <c r="B21" s="36"/>
      <c r="C21" s="37" t="s">
        <v>12</v>
      </c>
      <c r="D21" s="38">
        <f>SUBTOTAL(109,COMPRAS_REGISTRADAS[Monto])</f>
        <v>346010</v>
      </c>
      <c r="E21" s="37"/>
    </row>
  </sheetData>
  <mergeCells count="1">
    <mergeCell ref="B2:E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25190-3B3D-42DF-93E5-9EBEB424B418}">
  <sheetPr codeName="Hoja4"/>
  <dimension ref="B2:H23"/>
  <sheetViews>
    <sheetView showGridLines="0" workbookViewId="0">
      <selection activeCell="F16" sqref="F16"/>
    </sheetView>
  </sheetViews>
  <sheetFormatPr baseColWidth="10" defaultColWidth="15.69921875" defaultRowHeight="15" customHeight="1" x14ac:dyDescent="0.25"/>
  <cols>
    <col min="1" max="1" width="15.69921875" style="2"/>
    <col min="2" max="2" width="45.69921875" style="8" customWidth="1"/>
    <col min="3" max="3" width="15.69921875" style="2" customWidth="1"/>
    <col min="4" max="5" width="15.69921875" style="9"/>
    <col min="6" max="16384" width="15.69921875" style="2"/>
  </cols>
  <sheetData>
    <row r="2" spans="2:8" ht="15" customHeight="1" x14ac:dyDescent="0.25">
      <c r="B2" s="12" t="s">
        <v>10</v>
      </c>
      <c r="C2" s="13"/>
      <c r="D2" s="13"/>
      <c r="E2" s="13"/>
      <c r="F2" s="13"/>
      <c r="G2" s="13"/>
      <c r="H2" s="14"/>
    </row>
    <row r="3" spans="2:8" ht="15" customHeight="1" x14ac:dyDescent="0.25">
      <c r="B3" s="15"/>
      <c r="C3" s="16"/>
      <c r="D3" s="16"/>
      <c r="E3" s="16"/>
      <c r="F3" s="16"/>
      <c r="G3" s="16"/>
      <c r="H3" s="17"/>
    </row>
    <row r="4" spans="2:8" ht="15" customHeight="1" x14ac:dyDescent="0.25">
      <c r="B4" s="18"/>
      <c r="C4" s="19"/>
      <c r="D4" s="19"/>
      <c r="E4" s="19"/>
      <c r="F4" s="19"/>
      <c r="G4" s="19"/>
      <c r="H4" s="20"/>
    </row>
    <row r="7" spans="2:8" customFormat="1" ht="15" customHeight="1" x14ac:dyDescent="0.25">
      <c r="B7" s="5"/>
      <c r="D7" s="3"/>
      <c r="E7" s="3"/>
    </row>
    <row r="8" spans="2:8" s="7" customFormat="1" ht="15" customHeight="1" x14ac:dyDescent="0.25">
      <c r="B8" s="4" t="s">
        <v>11</v>
      </c>
      <c r="C8" s="6">
        <f>COMPRAS_REGISTRADAS[[#Totals],[Monto]]</f>
        <v>346010</v>
      </c>
      <c r="D8" s="3"/>
      <c r="E8" s="3"/>
    </row>
    <row r="9" spans="2:8" customFormat="1" ht="15" customHeight="1" x14ac:dyDescent="0.25">
      <c r="B9" s="5"/>
      <c r="D9" s="3"/>
      <c r="E9" s="3"/>
    </row>
    <row r="10" spans="2:8" customFormat="1" ht="15" customHeight="1" x14ac:dyDescent="0.25">
      <c r="B10" s="5"/>
      <c r="D10" s="3" t="s">
        <v>13</v>
      </c>
      <c r="E10" s="3" t="s">
        <v>14</v>
      </c>
    </row>
    <row r="11" spans="2:8" customFormat="1" ht="15" customHeight="1" x14ac:dyDescent="0.25">
      <c r="B11" s="5"/>
      <c r="D11" s="3"/>
      <c r="E11" s="3"/>
    </row>
    <row r="12" spans="2:8" s="7" customFormat="1" ht="15" customHeight="1" x14ac:dyDescent="0.55000000000000004">
      <c r="B12" s="4" t="s">
        <v>15</v>
      </c>
      <c r="D12" s="10">
        <f>2%</f>
        <v>0.02</v>
      </c>
      <c r="E12" s="11">
        <f>D12*C8</f>
        <v>6920.2</v>
      </c>
    </row>
    <row r="13" spans="2:8" customFormat="1" ht="15" customHeight="1" x14ac:dyDescent="0.25">
      <c r="B13" s="5"/>
      <c r="D13" s="3"/>
      <c r="E13" s="3"/>
    </row>
    <row r="14" spans="2:8" s="7" customFormat="1" ht="15" customHeight="1" x14ac:dyDescent="0.55000000000000004">
      <c r="B14" s="4" t="s">
        <v>16</v>
      </c>
      <c r="D14" s="10">
        <f>0.04</f>
        <v>0.04</v>
      </c>
      <c r="E14" s="11">
        <f>D14*C8</f>
        <v>13840.4</v>
      </c>
    </row>
    <row r="15" spans="2:8" customFormat="1" ht="15" customHeight="1" x14ac:dyDescent="0.25">
      <c r="B15" s="5"/>
      <c r="D15" s="3"/>
      <c r="E15" s="3"/>
    </row>
    <row r="16" spans="2:8" customFormat="1" ht="15" customHeight="1" x14ac:dyDescent="0.25">
      <c r="B16" s="5"/>
      <c r="D16" s="3"/>
      <c r="E16" s="3"/>
    </row>
    <row r="17" spans="2:5" customFormat="1" ht="15" customHeight="1" x14ac:dyDescent="0.25">
      <c r="B17" s="5"/>
      <c r="D17" s="3"/>
      <c r="E17" s="3"/>
    </row>
    <row r="18" spans="2:5" customFormat="1" ht="15" customHeight="1" x14ac:dyDescent="0.25">
      <c r="B18" s="5"/>
      <c r="D18" s="3"/>
      <c r="E18" s="3"/>
    </row>
    <row r="19" spans="2:5" customFormat="1" ht="15" customHeight="1" x14ac:dyDescent="0.25">
      <c r="B19" s="5"/>
      <c r="D19" s="3"/>
      <c r="E19" s="3"/>
    </row>
    <row r="20" spans="2:5" customFormat="1" ht="15" customHeight="1" x14ac:dyDescent="0.25">
      <c r="B20" s="5"/>
      <c r="D20" s="3"/>
      <c r="E20" s="3"/>
    </row>
    <row r="21" spans="2:5" customFormat="1" ht="15" customHeight="1" x14ac:dyDescent="0.25">
      <c r="B21" s="5"/>
      <c r="D21" s="3"/>
      <c r="E21" s="3"/>
    </row>
    <row r="22" spans="2:5" customFormat="1" ht="15" customHeight="1" x14ac:dyDescent="0.25">
      <c r="B22" s="5"/>
      <c r="D22" s="3"/>
      <c r="E22" s="3"/>
    </row>
    <row r="23" spans="2:5" customFormat="1" ht="15" customHeight="1" x14ac:dyDescent="0.25">
      <c r="B23" s="5"/>
      <c r="D23" s="3"/>
      <c r="E23" s="3"/>
    </row>
  </sheetData>
  <mergeCells count="1">
    <mergeCell ref="B2:H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INICIO</vt:lpstr>
      <vt:lpstr>REGISTRO DE COMPRAS</vt:lpstr>
      <vt:lpstr>BD - COMPRAS REGISTRADAS</vt:lpstr>
      <vt:lpstr>D-105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María Fernanda Marín Salas</dc:creator>
  <cp:lastModifiedBy>María Fernanda Marín Salas</cp:lastModifiedBy>
  <dcterms:created xsi:type="dcterms:W3CDTF">2024-03-13T21:20:01Z</dcterms:created>
  <dcterms:modified xsi:type="dcterms:W3CDTF">2024-03-14T00:53:45Z</dcterms:modified>
</cp:coreProperties>
</file>