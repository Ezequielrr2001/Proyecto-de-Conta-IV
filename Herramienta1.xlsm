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Proyecto-de-Conta-IV\"/>
    </mc:Choice>
  </mc:AlternateContent>
  <xr:revisionPtr revIDLastSave="0" documentId="8_{6DE5D00A-39B8-4308-BA1A-22641618555E}" xr6:coauthVersionLast="47" xr6:coauthVersionMax="47" xr10:uidLastSave="{00000000-0000-0000-0000-000000000000}"/>
  <bookViews>
    <workbookView xWindow="-108" yWindow="-108" windowWidth="23256" windowHeight="12456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Libro de Compras" sheetId="6" r:id="rId4"/>
    <sheet name="D-105" sheetId="4" r:id="rId5"/>
    <sheet name="Hoja5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G33" i="6"/>
  <c r="G34" i="6"/>
  <c r="G35" i="6"/>
  <c r="G36" i="6"/>
  <c r="G38" i="6"/>
  <c r="G39" i="6"/>
  <c r="G40" i="6"/>
  <c r="G41" i="6"/>
  <c r="G42" i="6"/>
  <c r="G44" i="6"/>
  <c r="G45" i="6"/>
  <c r="G46" i="6"/>
  <c r="G47" i="6"/>
  <c r="G48" i="6"/>
  <c r="G32" i="6"/>
  <c r="G9" i="6"/>
  <c r="G10" i="6"/>
  <c r="G11" i="6"/>
  <c r="G12" i="6"/>
  <c r="G14" i="6"/>
  <c r="G15" i="6"/>
  <c r="G16" i="6"/>
  <c r="G17" i="6"/>
  <c r="G18" i="6"/>
  <c r="G20" i="6"/>
  <c r="G21" i="6"/>
  <c r="G22" i="6"/>
  <c r="G23" i="6"/>
  <c r="G24" i="6"/>
  <c r="G8" i="6"/>
  <c r="F10" i="6"/>
  <c r="G80" i="6"/>
  <c r="F81" i="6"/>
  <c r="F82" i="6"/>
  <c r="F83" i="6"/>
  <c r="F84" i="6"/>
  <c r="F86" i="6"/>
  <c r="F87" i="6"/>
  <c r="F88" i="6"/>
  <c r="F89" i="6"/>
  <c r="F90" i="6"/>
  <c r="F92" i="6"/>
  <c r="F93" i="6"/>
  <c r="F94" i="6"/>
  <c r="F95" i="6"/>
  <c r="F96" i="6"/>
  <c r="F97" i="6"/>
  <c r="G81" i="6"/>
  <c r="G82" i="6"/>
  <c r="G83" i="6"/>
  <c r="G84" i="6"/>
  <c r="G86" i="6"/>
  <c r="G87" i="6"/>
  <c r="G88" i="6"/>
  <c r="G89" i="6"/>
  <c r="G90" i="6"/>
  <c r="G92" i="6"/>
  <c r="G93" i="6"/>
  <c r="G94" i="6"/>
  <c r="G95" i="6"/>
  <c r="G96" i="6"/>
  <c r="G97" i="6"/>
  <c r="G57" i="6"/>
  <c r="G58" i="6"/>
  <c r="G59" i="6"/>
  <c r="G60" i="6"/>
  <c r="G62" i="6"/>
  <c r="G63" i="6"/>
  <c r="G64" i="6"/>
  <c r="G65" i="6"/>
  <c r="G66" i="6"/>
  <c r="G68" i="6"/>
  <c r="G69" i="6"/>
  <c r="G70" i="6"/>
  <c r="G71" i="6"/>
  <c r="G72" i="6"/>
  <c r="G73" i="6"/>
  <c r="G56" i="6"/>
  <c r="F57" i="6"/>
  <c r="F58" i="6"/>
  <c r="F59" i="6"/>
  <c r="F60" i="6"/>
  <c r="F62" i="6"/>
  <c r="F63" i="6"/>
  <c r="F64" i="6"/>
  <c r="F65" i="6"/>
  <c r="F66" i="6"/>
  <c r="F68" i="6"/>
  <c r="F69" i="6"/>
  <c r="F70" i="6"/>
  <c r="F71" i="6"/>
  <c r="F72" i="6"/>
  <c r="F73" i="6"/>
  <c r="F33" i="6"/>
  <c r="F34" i="6"/>
  <c r="F35" i="6"/>
  <c r="F36" i="6"/>
  <c r="F38" i="6"/>
  <c r="F39" i="6"/>
  <c r="F40" i="6"/>
  <c r="F41" i="6"/>
  <c r="F42" i="6"/>
  <c r="F44" i="6"/>
  <c r="F45" i="6"/>
  <c r="F46" i="6"/>
  <c r="F47" i="6"/>
  <c r="F48" i="6"/>
  <c r="F80" i="6"/>
  <c r="F56" i="6"/>
  <c r="F32" i="6"/>
  <c r="F8" i="6"/>
  <c r="F9" i="6"/>
  <c r="F11" i="6"/>
  <c r="F12" i="6"/>
  <c r="F14" i="6"/>
  <c r="F15" i="6"/>
  <c r="F16" i="6"/>
  <c r="F17" i="6"/>
  <c r="F18" i="6"/>
  <c r="F20" i="6"/>
  <c r="F21" i="6"/>
  <c r="F22" i="6"/>
  <c r="F23" i="6"/>
  <c r="F24" i="6"/>
  <c r="B96" i="6"/>
  <c r="C96" i="6"/>
  <c r="B72" i="6"/>
  <c r="C72" i="6"/>
  <c r="B66" i="6"/>
  <c r="C66" i="6"/>
  <c r="C73" i="6"/>
  <c r="C45" i="6"/>
  <c r="B14" i="6"/>
  <c r="C8" i="6"/>
  <c r="C97" i="6"/>
  <c r="B97" i="6"/>
  <c r="C95" i="6"/>
  <c r="B95" i="6"/>
  <c r="C94" i="6"/>
  <c r="B94" i="6"/>
  <c r="C93" i="6"/>
  <c r="B93" i="6"/>
  <c r="C92" i="6"/>
  <c r="B92" i="6"/>
  <c r="C90" i="6"/>
  <c r="B90" i="6"/>
  <c r="C89" i="6"/>
  <c r="B89" i="6"/>
  <c r="C88" i="6"/>
  <c r="B88" i="6"/>
  <c r="C87" i="6"/>
  <c r="B87" i="6"/>
  <c r="C86" i="6"/>
  <c r="B86" i="6"/>
  <c r="C84" i="6"/>
  <c r="B84" i="6"/>
  <c r="C83" i="6"/>
  <c r="B83" i="6"/>
  <c r="C82" i="6"/>
  <c r="B82" i="6"/>
  <c r="C81" i="6"/>
  <c r="B81" i="6"/>
  <c r="C80" i="6"/>
  <c r="B80" i="6"/>
  <c r="B73" i="6"/>
  <c r="C71" i="6"/>
  <c r="B71" i="6"/>
  <c r="C70" i="6"/>
  <c r="B70" i="6"/>
  <c r="C69" i="6"/>
  <c r="B69" i="6"/>
  <c r="C68" i="6"/>
  <c r="B68" i="6"/>
  <c r="C65" i="6"/>
  <c r="B65" i="6"/>
  <c r="C64" i="6"/>
  <c r="B64" i="6"/>
  <c r="C63" i="6"/>
  <c r="B63" i="6"/>
  <c r="C62" i="6"/>
  <c r="B62" i="6"/>
  <c r="C60" i="6"/>
  <c r="B60" i="6"/>
  <c r="C59" i="6"/>
  <c r="B59" i="6"/>
  <c r="C58" i="6"/>
  <c r="B58" i="6"/>
  <c r="C57" i="6"/>
  <c r="B57" i="6"/>
  <c r="C56" i="6"/>
  <c r="B56" i="6"/>
  <c r="C48" i="6"/>
  <c r="B48" i="6"/>
  <c r="C47" i="6"/>
  <c r="B47" i="6"/>
  <c r="C46" i="6"/>
  <c r="B46" i="6"/>
  <c r="B45" i="6"/>
  <c r="C44" i="6"/>
  <c r="B44" i="6"/>
  <c r="C42" i="6"/>
  <c r="B42" i="6"/>
  <c r="C41" i="6"/>
  <c r="B41" i="6"/>
  <c r="C40" i="6"/>
  <c r="B40" i="6"/>
  <c r="C39" i="6"/>
  <c r="B39" i="6"/>
  <c r="C38" i="6"/>
  <c r="B38" i="6"/>
  <c r="C36" i="6"/>
  <c r="B36" i="6"/>
  <c r="C35" i="6"/>
  <c r="B35" i="6"/>
  <c r="C34" i="6"/>
  <c r="B34" i="6"/>
  <c r="C33" i="6"/>
  <c r="B33" i="6"/>
  <c r="C32" i="6"/>
  <c r="B32" i="6"/>
  <c r="C24" i="6"/>
  <c r="B24" i="6"/>
  <c r="C23" i="6"/>
  <c r="B23" i="6"/>
  <c r="C22" i="6"/>
  <c r="B22" i="6"/>
  <c r="C21" i="6"/>
  <c r="B21" i="6"/>
  <c r="C20" i="6"/>
  <c r="B20" i="6"/>
  <c r="C18" i="6"/>
  <c r="B18" i="6"/>
  <c r="C17" i="6"/>
  <c r="B17" i="6"/>
  <c r="C16" i="6"/>
  <c r="B16" i="6"/>
  <c r="C15" i="6"/>
  <c r="B15" i="6"/>
  <c r="C14" i="6"/>
  <c r="C12" i="6"/>
  <c r="B12" i="6"/>
  <c r="C11" i="6"/>
  <c r="B11" i="6"/>
  <c r="C10" i="6"/>
  <c r="B10" i="6"/>
  <c r="C9" i="6"/>
  <c r="B9" i="6"/>
  <c r="B8" i="6"/>
  <c r="F74" i="6" l="1"/>
  <c r="F98" i="6"/>
  <c r="F49" i="6"/>
  <c r="F25" i="6"/>
  <c r="G98" i="6"/>
  <c r="G74" i="6"/>
  <c r="G49" i="6"/>
  <c r="G25" i="6"/>
  <c r="D16" i="4" s="1"/>
  <c r="D14" i="4" l="1"/>
  <c r="C10" i="4"/>
  <c r="D6" i="2" l="1"/>
  <c r="D22" i="2"/>
  <c r="D16" i="3"/>
  <c r="E16" i="4" l="1"/>
  <c r="E14" i="4"/>
  <c r="K31" i="5" l="1"/>
  <c r="K22" i="5"/>
  <c r="K14" i="5"/>
  <c r="K4" i="5"/>
  <c r="H22" i="5"/>
  <c r="H14" i="5"/>
  <c r="H4" i="5"/>
  <c r="E22" i="5"/>
  <c r="E14" i="5"/>
  <c r="E4" i="5"/>
  <c r="A23" i="5"/>
  <c r="A1" i="5"/>
  <c r="A4" i="5"/>
  <c r="A14" i="5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F14" i="4" l="1"/>
  <c r="F16" i="4"/>
</calcChain>
</file>

<file path=xl/sharedStrings.xml><?xml version="1.0" encoding="utf-8"?>
<sst xmlns="http://schemas.openxmlformats.org/spreadsheetml/2006/main" count="165" uniqueCount="74">
  <si>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</si>
  <si>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</si>
  <si>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</si>
  <si>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</si>
  <si>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</si>
  <si>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</si>
  <si>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</si>
  <si>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Factor</t>
  </si>
  <si>
    <t>Total a Pagar</t>
  </si>
  <si>
    <t>Impuesto de Valor Agregado (IVA) por Pagar</t>
  </si>
  <si>
    <t>Impuesto sobre la Renta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</si>
  <si>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</si>
  <si>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</si>
  <si>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</si>
  <si>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Fabricación artesanal de calzado</t>
  </si>
  <si>
    <t>Compras con IVA (13%)</t>
  </si>
  <si>
    <t>Compras con IVA (1%)</t>
  </si>
  <si>
    <t>Compras con IVA (2%)</t>
  </si>
  <si>
    <t>Compras con IVA (EXCENTO)</t>
  </si>
  <si>
    <t>Km Recorridos</t>
  </si>
  <si>
    <t>Total de Compras o Kilometros</t>
  </si>
  <si>
    <t>Actividad</t>
  </si>
  <si>
    <t>IVA AL 13%</t>
  </si>
  <si>
    <t>IVA AL 2%</t>
  </si>
  <si>
    <t>IVA AL 1%</t>
  </si>
  <si>
    <t>IVA EXCENTO</t>
  </si>
  <si>
    <t>Total con y sin IVA</t>
  </si>
  <si>
    <t>Con IVA</t>
  </si>
  <si>
    <t>COMPRAS REALIZADAS</t>
  </si>
  <si>
    <t>PALI</t>
  </si>
  <si>
    <t>hola</t>
  </si>
  <si>
    <t>´PALI</t>
  </si>
  <si>
    <t>Cris</t>
  </si>
  <si>
    <t>Help</t>
  </si>
  <si>
    <t>Libro de Compras</t>
  </si>
  <si>
    <t>IV Trimestre</t>
  </si>
  <si>
    <t>Semana</t>
  </si>
  <si>
    <t>Fechas</t>
  </si>
  <si>
    <t>Compras</t>
  </si>
  <si>
    <t>Mes</t>
  </si>
  <si>
    <t>Del</t>
  </si>
  <si>
    <t>Al</t>
  </si>
  <si>
    <t>Desde</t>
  </si>
  <si>
    <t>Hasta</t>
  </si>
  <si>
    <t>Noviembre</t>
  </si>
  <si>
    <t>Diciembre</t>
  </si>
  <si>
    <t xml:space="preserve">Diciembre </t>
  </si>
  <si>
    <t>Totales</t>
  </si>
  <si>
    <t>Registro de compras  de Enero, Febrero, Marzo del  2024</t>
  </si>
  <si>
    <t>I Trimestre</t>
  </si>
  <si>
    <t>II Trimestre</t>
  </si>
  <si>
    <t>III Trimestre</t>
  </si>
  <si>
    <t>ENERO</t>
  </si>
  <si>
    <t>FEBRERO</t>
  </si>
  <si>
    <t>MARZO</t>
  </si>
  <si>
    <t>ABRIL</t>
  </si>
  <si>
    <t>MAYO</t>
  </si>
  <si>
    <t>JULIO</t>
  </si>
  <si>
    <t>JUNIO</t>
  </si>
  <si>
    <t>AGOSTO</t>
  </si>
  <si>
    <t>SETIEMBRE</t>
  </si>
  <si>
    <t>OCTUBRE</t>
  </si>
  <si>
    <t>NOVIEMBRE</t>
  </si>
  <si>
    <t>DICIEMBRE</t>
  </si>
  <si>
    <t>Registro de compras del mes de Octubre, Noviembre, Diciembre del 2024</t>
  </si>
  <si>
    <t>Registro de compras del mes de Julio, Agosto, Setiembre del 2024</t>
  </si>
  <si>
    <t>Registro de compras del mes de Abril, Mayo, Junio del 2024</t>
  </si>
  <si>
    <t>WALMART</t>
  </si>
  <si>
    <t>BUENO</t>
  </si>
  <si>
    <t>POR FAVOR</t>
  </si>
  <si>
    <t>Actividad:</t>
  </si>
  <si>
    <t>Periodo:</t>
  </si>
  <si>
    <t>Periodos de Renta</t>
  </si>
  <si>
    <t>VI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</si>
</sst>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&quot;₡&quot;* #,##0.00_-;\-&quot;₡&quot;* #,##0.00_-;_-&quot;₡&quot;* &quot;-&quot;??_-;_-@_-"/>
    <numFmt numFmtId="165" formatCode="0.0%"/>
    <numFmt numFmtId="166" formatCode="_-[$₡-140A]* #,##0.00_-;\-[$₡-140A]* #,##0.00_-;_-[$₡-140A]* &quot;-&quot;??_-;_-@_-"/>
    <numFmt numFmtId="167" formatCode="_(* #,##0_);_(* \(#,##0\);_(* &quot;-&quot;??_);_(@_)"/>
  </numFmts>
  <fonts count="21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  <font>
      <b/>
      <sz val="12"/>
      <color theme="0"/>
      <name val="Franklin Gothic Book"/>
      <family val="2"/>
      <scheme val="minor"/>
    </font>
    <font>
      <sz val="8"/>
      <name val="Franklin Gothic Book"/>
      <family val="2"/>
      <scheme val="minor"/>
    </font>
    <font>
      <b/>
      <sz val="12"/>
      <name val="Franklin Gothic Medium"/>
      <family val="1"/>
      <scheme val="major"/>
    </font>
    <font>
      <sz val="11"/>
      <name val="Franklin Gothic Book"/>
      <family val="2"/>
      <scheme val="minor"/>
    </font>
    <font>
      <b/>
      <sz val="11"/>
      <name val="Franklin Gothic Medium"/>
      <family val="1"/>
      <scheme val="major"/>
    </font>
    <font>
      <b/>
      <sz val="11"/>
      <name val="Franklin Gothic Book"/>
      <family val="2"/>
      <scheme val="minor"/>
    </font>
    <font>
      <b/>
      <sz val="11"/>
      <color rgb="FF000000"/>
      <name val="Franklin Gothic Medium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8999908444471571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right"/>
    </xf>
    <xf numFmtId="9" fontId="4" fillId="0" borderId="0" xfId="1" applyFont="1" applyAlignment="1">
      <alignment horizontal="center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4" fontId="6" fillId="3" borderId="9" xfId="0" applyNumberFormat="1" applyFont="1" applyFill="1" applyBorder="1" applyProtection="1">
      <protection locked="0"/>
    </xf>
    <xf numFmtId="0" fontId="0" fillId="3" borderId="9" xfId="0" applyFill="1" applyBorder="1"/>
    <xf numFmtId="2" fontId="0" fillId="3" borderId="9" xfId="2" applyNumberFormat="1" applyFont="1" applyFill="1" applyBorder="1"/>
    <xf numFmtId="2" fontId="0" fillId="3" borderId="9" xfId="0" applyNumberFormat="1" applyFill="1" applyBorder="1"/>
    <xf numFmtId="0" fontId="1" fillId="0" borderId="0" xfId="0" applyFont="1" applyAlignment="1" applyProtection="1">
      <alignment horizontal="center"/>
      <protection locked="0"/>
    </xf>
    <xf numFmtId="0" fontId="6" fillId="3" borderId="9" xfId="0" applyFont="1" applyFill="1" applyBorder="1"/>
    <xf numFmtId="0" fontId="17" fillId="0" borderId="0" xfId="0" applyFont="1" applyAlignment="1">
      <alignment vertical="center"/>
    </xf>
    <xf numFmtId="14" fontId="17" fillId="0" borderId="0" xfId="0" applyNumberFormat="1" applyFont="1" applyAlignment="1">
      <alignment vertical="center"/>
    </xf>
    <xf numFmtId="166" fontId="17" fillId="0" borderId="0" xfId="0" applyNumberFormat="1" applyFont="1" applyAlignment="1">
      <alignment vertical="center"/>
    </xf>
    <xf numFmtId="0" fontId="18" fillId="0" borderId="1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4" fontId="18" fillId="0" borderId="17" xfId="0" applyNumberFormat="1" applyFont="1" applyBorder="1" applyAlignment="1">
      <alignment horizontal="center" vertical="center"/>
    </xf>
    <xf numFmtId="166" fontId="18" fillId="0" borderId="17" xfId="0" applyNumberFormat="1" applyFont="1" applyBorder="1" applyAlignment="1">
      <alignment horizontal="center" vertical="center"/>
    </xf>
    <xf numFmtId="166" fontId="18" fillId="0" borderId="18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 textRotation="90"/>
    </xf>
    <xf numFmtId="0" fontId="17" fillId="0" borderId="19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4" fontId="17" fillId="0" borderId="13" xfId="0" applyNumberFormat="1" applyFont="1" applyBorder="1" applyAlignment="1">
      <alignment horizontal="center" vertical="center"/>
    </xf>
    <xf numFmtId="166" fontId="17" fillId="0" borderId="13" xfId="2" applyNumberFormat="1" applyFont="1" applyBorder="1" applyAlignment="1">
      <alignment vertical="center"/>
    </xf>
    <xf numFmtId="166" fontId="17" fillId="0" borderId="15" xfId="2" applyNumberFormat="1" applyFont="1" applyBorder="1" applyAlignment="1">
      <alignment vertical="center"/>
    </xf>
    <xf numFmtId="0" fontId="17" fillId="0" borderId="20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166" fontId="20" fillId="0" borderId="0" xfId="0" applyNumberFormat="1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7" fontId="7" fillId="0" borderId="0" xfId="0" applyNumberFormat="1" applyFont="1" applyAlignment="1">
      <alignment horizontal="center"/>
    </xf>
    <xf numFmtId="3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 vertical="center"/>
    </xf>
    <xf numFmtId="167" fontId="4" fillId="0" borderId="0" xfId="0" applyNumberFormat="1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5" borderId="0" xfId="0" applyFont="1" applyFill="1" applyAlignment="1" applyProtection="1">
      <alignment horizontal="center"/>
      <protection locked="0"/>
    </xf>
    <xf numFmtId="0" fontId="19" fillId="0" borderId="15" xfId="0" applyFont="1" applyBorder="1" applyAlignment="1">
      <alignment horizontal="center" vertical="center" textRotation="90"/>
    </xf>
    <xf numFmtId="0" fontId="20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14" fontId="18" fillId="0" borderId="14" xfId="0" applyNumberFormat="1" applyFont="1" applyBorder="1" applyAlignment="1">
      <alignment horizontal="center" vertical="center"/>
    </xf>
    <xf numFmtId="166" fontId="18" fillId="0" borderId="14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</cellXfs>
  <cellStyles count="3">
    <cellStyle name="Moneda" xfId="2" builtinId="4"/>
    <cellStyle name="Normal" xfId="0" builtinId="0"/>
    <cellStyle name="Porcentaje" xfId="1" builtinId="5"/>
  </cellStyles>
  <dxfs count="59">
    <dxf>
      <font>
        <color auto="1"/>
      </font>
      <numFmt numFmtId="14" formatCode="0.00%"/>
    </dxf>
    <dxf>
      <font>
        <color auto="1"/>
      </font>
      <numFmt numFmtId="168" formatCode="[$₡-1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9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9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70" formatCode="d/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9864578" y="2928596"/>
          <a:ext cx="2389554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1987257" y="2842065"/>
          <a:ext cx="2389554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1246717</xdr:colOff>
      <xdr:row>6</xdr:row>
      <xdr:rowOff>83306</xdr:rowOff>
    </xdr:from>
    <xdr:to>
      <xdr:col>10</xdr:col>
      <xdr:colOff>91017</xdr:colOff>
      <xdr:row>13</xdr:row>
      <xdr:rowOff>116420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12094515" y="1418946"/>
          <a:ext cx="1464210" cy="1351631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21166</xdr:colOff>
      <xdr:row>15</xdr:row>
      <xdr:rowOff>82551</xdr:rowOff>
    </xdr:from>
    <xdr:to>
      <xdr:col>10</xdr:col>
      <xdr:colOff>152828</xdr:colOff>
      <xdr:row>23</xdr:row>
      <xdr:rowOff>111893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12178919" y="3113427"/>
          <a:ext cx="1441617" cy="1536219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15</xdr:row>
      <xdr:rowOff>0</xdr:rowOff>
    </xdr:from>
    <xdr:to>
      <xdr:col>2</xdr:col>
      <xdr:colOff>279400</xdr:colOff>
      <xdr:row>15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1084729</xdr:colOff>
      <xdr:row>9</xdr:row>
      <xdr:rowOff>40342</xdr:rowOff>
    </xdr:from>
    <xdr:to>
      <xdr:col>12</xdr:col>
      <xdr:colOff>1012115</xdr:colOff>
      <xdr:row>18</xdr:row>
      <xdr:rowOff>15689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15222070" y="1743636"/>
          <a:ext cx="2545080" cy="1669677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292817</xdr:colOff>
      <xdr:row>7</xdr:row>
      <xdr:rowOff>47314</xdr:rowOff>
    </xdr:from>
    <xdr:to>
      <xdr:col>8</xdr:col>
      <xdr:colOff>614979</xdr:colOff>
      <xdr:row>15</xdr:row>
      <xdr:rowOff>76656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10884617" y="1639047"/>
          <a:ext cx="1507495" cy="1587209"/>
          <a:chOff x="2240150" y="3042398"/>
          <a:chExt cx="1507495" cy="1553342"/>
        </a:xfrm>
      </xdr:grpSpPr>
      <xdr:sp macro="[0]!REGRESAR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 macro="[0]!REGRESAR"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5</xdr:row>
      <xdr:rowOff>0</xdr:rowOff>
    </xdr:from>
    <xdr:to>
      <xdr:col>1</xdr:col>
      <xdr:colOff>1248457</xdr:colOff>
      <xdr:row>11</xdr:row>
      <xdr:rowOff>56539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6D42F7D8-BF5B-2B4B-418E-9C2E43FFEE01}"/>
            </a:ext>
          </a:extLst>
        </xdr:cNvPr>
        <xdr:cNvGrpSpPr/>
      </xdr:nvGrpSpPr>
      <xdr:grpSpPr>
        <a:xfrm>
          <a:off x="361949" y="979714"/>
          <a:ext cx="2192794" cy="1232196"/>
          <a:chOff x="5734049" y="762000"/>
          <a:chExt cx="2229533" cy="119953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694C3F-2D9B-35D8-767E-661FEE86E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4049" y="809624"/>
            <a:ext cx="1151915" cy="1151915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99410135-2A73-F41D-A4D1-753F8BB81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762000"/>
            <a:ext cx="1181782" cy="118178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904876</xdr:colOff>
      <xdr:row>14</xdr:row>
      <xdr:rowOff>125898</xdr:rowOff>
    </xdr:from>
    <xdr:to>
      <xdr:col>1</xdr:col>
      <xdr:colOff>878170</xdr:colOff>
      <xdr:row>20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44B54F6-FA96-D752-3EEE-B1C33CCA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6" y="2602398"/>
          <a:ext cx="1316318" cy="1121877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23</xdr:row>
      <xdr:rowOff>104776</xdr:rowOff>
    </xdr:from>
    <xdr:to>
      <xdr:col>1</xdr:col>
      <xdr:colOff>1057276</xdr:colOff>
      <xdr:row>29</xdr:row>
      <xdr:rowOff>161926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3C75914-49D2-3128-0EB5-87FCA8CB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295776"/>
          <a:ext cx="1485900" cy="1200150"/>
        </a:xfrm>
        <a:prstGeom prst="rect">
          <a:avLst/>
        </a:prstGeom>
      </xdr:spPr>
    </xdr:pic>
    <xdr:clientData/>
  </xdr:twoCellAnchor>
  <xdr:twoCellAnchor>
    <xdr:from>
      <xdr:col>4</xdr:col>
      <xdr:colOff>82826</xdr:colOff>
      <xdr:row>5</xdr:row>
      <xdr:rowOff>25802</xdr:rowOff>
    </xdr:from>
    <xdr:to>
      <xdr:col>5</xdr:col>
      <xdr:colOff>821765</xdr:colOff>
      <xdr:row>11</xdr:row>
      <xdr:rowOff>37353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AAE57ED-0213-5EFF-D96F-4A0B27EA2D34}"/>
            </a:ext>
          </a:extLst>
        </xdr:cNvPr>
        <xdr:cNvGrpSpPr/>
      </xdr:nvGrpSpPr>
      <xdr:grpSpPr>
        <a:xfrm>
          <a:off x="5307969" y="1005516"/>
          <a:ext cx="2045225" cy="1187208"/>
          <a:chOff x="10933855" y="1762714"/>
          <a:chExt cx="3320997" cy="1655080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864412CB-C3DC-5E63-05CE-9E832650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94" y="1821889"/>
            <a:ext cx="1629558" cy="1595905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E0E1A054-51F3-BF18-E854-D70543456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855" y="1762714"/>
            <a:ext cx="1631653" cy="159875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533401</xdr:colOff>
      <xdr:row>14</xdr:row>
      <xdr:rowOff>25401</xdr:rowOff>
    </xdr:from>
    <xdr:to>
      <xdr:col>5</xdr:col>
      <xdr:colOff>564739</xdr:colOff>
      <xdr:row>19</xdr:row>
      <xdr:rowOff>177800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8EAF927-A5B1-27FE-A770-F554D621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1" y="2501901"/>
          <a:ext cx="1377538" cy="1104899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22</xdr:row>
      <xdr:rowOff>139700</xdr:rowOff>
    </xdr:from>
    <xdr:to>
      <xdr:col>5</xdr:col>
      <xdr:colOff>1270000</xdr:colOff>
      <xdr:row>29</xdr:row>
      <xdr:rowOff>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E49530D-9B1D-D013-2D97-CB02F315EB5D}"/>
            </a:ext>
          </a:extLst>
        </xdr:cNvPr>
        <xdr:cNvGrpSpPr/>
      </xdr:nvGrpSpPr>
      <xdr:grpSpPr>
        <a:xfrm>
          <a:off x="5339443" y="4450443"/>
          <a:ext cx="2461986" cy="1231900"/>
          <a:chOff x="10883900" y="4140200"/>
          <a:chExt cx="2501900" cy="1193800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EEF18AC5-CE1C-D883-AFAB-F9CD8C865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83900" y="4191000"/>
            <a:ext cx="1100271" cy="110027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2CE23B6-AE6F-CB4F-84D8-606FFE1CB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192000" y="4140200"/>
            <a:ext cx="1193800" cy="11938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136071</xdr:colOff>
      <xdr:row>4</xdr:row>
      <xdr:rowOff>5441</xdr:rowOff>
    </xdr:from>
    <xdr:to>
      <xdr:col>8</xdr:col>
      <xdr:colOff>244929</xdr:colOff>
      <xdr:row>11</xdr:row>
      <xdr:rowOff>127906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C305901F-73D7-2FC4-7E3D-911D8D1D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65821" y="767441"/>
          <a:ext cx="1455965" cy="1455965"/>
        </a:xfrm>
        <a:prstGeom prst="rect">
          <a:avLst/>
        </a:prstGeom>
      </xdr:spPr>
    </xdr:pic>
    <xdr:clientData/>
  </xdr:twoCellAnchor>
  <xdr:twoCellAnchor>
    <xdr:from>
      <xdr:col>10</xdr:col>
      <xdr:colOff>27216</xdr:colOff>
      <xdr:row>22</xdr:row>
      <xdr:rowOff>136072</xdr:rowOff>
    </xdr:from>
    <xdr:to>
      <xdr:col>11</xdr:col>
      <xdr:colOff>1012372</xdr:colOff>
      <xdr:row>28</xdr:row>
      <xdr:rowOff>168728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2D34B668-2212-22F6-4817-388847708FA1}"/>
            </a:ext>
          </a:extLst>
        </xdr:cNvPr>
        <xdr:cNvGrpSpPr/>
      </xdr:nvGrpSpPr>
      <xdr:grpSpPr>
        <a:xfrm>
          <a:off x="13090073" y="4446815"/>
          <a:ext cx="2291442" cy="1208313"/>
          <a:chOff x="9606643" y="2667000"/>
          <a:chExt cx="2332264" cy="1175656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C064E14F-FF1A-8D29-A2FF-F5344511E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0776858" y="2667000"/>
            <a:ext cx="1162049" cy="1162049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1C33875-0D06-2613-4232-D492AC5FD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606643" y="2713263"/>
            <a:ext cx="1129393" cy="11293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13605</xdr:colOff>
      <xdr:row>22</xdr:row>
      <xdr:rowOff>54427</xdr:rowOff>
    </xdr:from>
    <xdr:to>
      <xdr:col>9</xdr:col>
      <xdr:colOff>149678</xdr:colOff>
      <xdr:row>29</xdr:row>
      <xdr:rowOff>27215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B9C6F44-1FD8-A6F6-EF1D-7A5A4A8974CC}"/>
            </a:ext>
          </a:extLst>
        </xdr:cNvPr>
        <xdr:cNvGrpSpPr/>
      </xdr:nvGrpSpPr>
      <xdr:grpSpPr>
        <a:xfrm>
          <a:off x="9157605" y="4365170"/>
          <a:ext cx="2748644" cy="1344388"/>
          <a:chOff x="9443355" y="4245427"/>
          <a:chExt cx="2830287" cy="130628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A099582-8D67-1026-83B6-30AAE74EC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443355" y="4245427"/>
            <a:ext cx="1583871" cy="1306288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B42B3922-2C18-AFBA-1CAC-AA4C27258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089821" y="4346121"/>
            <a:ext cx="1183821" cy="118382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1102178</xdr:colOff>
      <xdr:row>4</xdr:row>
      <xdr:rowOff>114300</xdr:rowOff>
    </xdr:from>
    <xdr:to>
      <xdr:col>11</xdr:col>
      <xdr:colOff>775606</xdr:colOff>
      <xdr:row>11</xdr:row>
      <xdr:rowOff>27215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8522181C-7C94-61B3-CA72-F14272FF4D4F}"/>
            </a:ext>
          </a:extLst>
        </xdr:cNvPr>
        <xdr:cNvGrpSpPr/>
      </xdr:nvGrpSpPr>
      <xdr:grpSpPr>
        <a:xfrm>
          <a:off x="12858749" y="898071"/>
          <a:ext cx="2286000" cy="1284515"/>
          <a:chOff x="13185321" y="862693"/>
          <a:chExt cx="2367643" cy="1246415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65B22D40-47EA-F32E-349D-0FEA0D3CE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3185321" y="870858"/>
            <a:ext cx="1238250" cy="1238250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4625118-0175-A3B2-7324-6B31DC64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4396358" y="862693"/>
            <a:ext cx="1156606" cy="1156606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421822</xdr:colOff>
      <xdr:row>14</xdr:row>
      <xdr:rowOff>40820</xdr:rowOff>
    </xdr:from>
    <xdr:to>
      <xdr:col>11</xdr:col>
      <xdr:colOff>590548</xdr:colOff>
      <xdr:row>21</xdr:row>
      <xdr:rowOff>5441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C2417E3-8168-4B2C-1D0F-0CB8583A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92893" y="2707820"/>
          <a:ext cx="1515834" cy="1298121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31</xdr:row>
      <xdr:rowOff>122465</xdr:rowOff>
    </xdr:from>
    <xdr:to>
      <xdr:col>11</xdr:col>
      <xdr:colOff>81642</xdr:colOff>
      <xdr:row>37</xdr:row>
      <xdr:rowOff>168728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35A4023-C8B0-40D4-8D50-55BB813F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 rot="10800000" flipH="1" flipV="1">
          <a:off x="13566321" y="6027965"/>
          <a:ext cx="1333500" cy="1189263"/>
        </a:xfrm>
        <a:prstGeom prst="rect">
          <a:avLst/>
        </a:prstGeom>
      </xdr:spPr>
    </xdr:pic>
    <xdr:clientData/>
  </xdr:twoCellAnchor>
  <xdr:twoCellAnchor>
    <xdr:from>
      <xdr:col>7</xdr:col>
      <xdr:colOff>108857</xdr:colOff>
      <xdr:row>13</xdr:row>
      <xdr:rowOff>136071</xdr:rowOff>
    </xdr:from>
    <xdr:to>
      <xdr:col>9</xdr:col>
      <xdr:colOff>195942</xdr:colOff>
      <xdr:row>21</xdr:row>
      <xdr:rowOff>127906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D216751A-891C-C899-9478-EEF1E1A9CF09}"/>
            </a:ext>
          </a:extLst>
        </xdr:cNvPr>
        <xdr:cNvGrpSpPr/>
      </xdr:nvGrpSpPr>
      <xdr:grpSpPr>
        <a:xfrm>
          <a:off x="9252857" y="2683328"/>
          <a:ext cx="2699656" cy="1559378"/>
          <a:chOff x="9538607" y="2612571"/>
          <a:chExt cx="2781299" cy="15158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14572B90-1772-9FBF-E4D4-1577981A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0804071" y="2612571"/>
            <a:ext cx="1515835" cy="1515835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89F1EE08-8CF0-B9A5-063B-3CA935538B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9538607" y="2658834"/>
            <a:ext cx="1347107" cy="134710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A7:J16" totalsRowCount="1" headerRowDxfId="58" totalsRowDxfId="57">
  <tableColumns count="10">
    <tableColumn id="12" xr3:uid="{CD26FD1C-6724-4180-8028-1173A33F9227}" name="Actividad" totalsRowDxfId="56"/>
    <tableColumn id="1" xr3:uid="{48F1FDC3-4E1D-4C30-8121-415ACE974B48}" name="Fecha" totalsRowDxfId="55"/>
    <tableColumn id="2" xr3:uid="{BDECB7A0-9109-4483-B7E8-5F9FD9D0CF47}" name="Proveedor" totalsRowDxfId="54"/>
    <tableColumn id="3" xr3:uid="{D375F3B4-43F1-4AE9-96DF-E9F9503CC77E}" name="IVA AL 13%" totalsRowFunction="sum" totalsRowDxfId="53"/>
    <tableColumn id="5" xr3:uid="{018B5E8C-95EA-4239-A85D-979473999E9F}" name="IVA AL 2%" totalsRowDxfId="52"/>
    <tableColumn id="4" xr3:uid="{5CCE0155-0F6E-4D39-B919-6CA2880180FB}" name="IVA AL 1%" totalsRowDxfId="51"/>
    <tableColumn id="6" xr3:uid="{8E0F72FB-A98C-408E-B73B-FFCBF8529CF3}" name="IVA EXCENTO" totalsRowDxfId="50"/>
    <tableColumn id="9" xr3:uid="{8B0B832F-6BED-491D-A37D-99BCFC31CD56}" name="Km Recorridos"/>
    <tableColumn id="10" xr3:uid="{486BB694-7CB4-4902-8B1B-72138A127093}" name="Total de Compras o Kilometros" dataDxfId="49" totalsRowDxfId="48"/>
    <tableColumn id="11" xr3:uid="{2CE02256-063F-47C3-8AC8-5E3FC36C363B}" name="Detalle" dataDxfId="47" totalsRowDxfId="4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674073-54D6-438B-8A9C-DE6A9BF77FFF}" name="Tabla2" displayName="Tabla2" ref="B7:G24" totalsRowShown="0" headerRowDxfId="45" dataDxfId="43" headerRowBorderDxfId="44" tableBorderDxfId="42" totalsRowBorderDxfId="41">
  <tableColumns count="6">
    <tableColumn id="1" xr3:uid="{CD452234-D523-4AED-ADF8-38B49900B88B}" name="Del" dataDxfId="40">
      <calculatedColumnFormula>DAY(D8)</calculatedColumnFormula>
    </tableColumn>
    <tableColumn id="2" xr3:uid="{E37DF9A1-7F6F-4031-866B-00DE920103E3}" name="Al" dataDxfId="39">
      <calculatedColumnFormula xml:space="preserve"> DAY(E8)</calculatedColumnFormula>
    </tableColumn>
    <tableColumn id="3" xr3:uid="{A9C6A624-87F2-4E92-88D0-DB0382FEAF48}" name="Desde" dataDxfId="38"/>
    <tableColumn id="4" xr3:uid="{A105DD57-36C8-4C96-ABCE-8A754994EACE}" name="Hasta" dataDxfId="37"/>
    <tableColumn id="5" xr3:uid="{079902CF-BB80-48E6-8C53-7E8C38E88E39}" name="Total con y sin IVA" dataDxfId="36" dataCellStyle="Moneda">
      <calculatedColumnFormula>SUMIFS('BD COMPRAS REGISTRADAS'!I:I,'BD COMPRAS REGISTRADAS'!B:B, "&gt;="&amp;Tabla2[[#This Row],[Desde]],'BD COMPRAS REGISTRADAS'!B:B, "&lt;="&amp;Tabla2[[#This Row],[Hasta]],'BD COMPRAS REGISTRADAS'!A:A,"="&amp;Inicio!$D$13)</calculatedColumnFormula>
    </tableColumn>
    <tableColumn id="6" xr3:uid="{6CE74192-BDAC-4BFE-8525-DA4921772C90}" name="Con IVA" dataDxfId="35" dataCellStyle="Moneda">
      <calculatedColumnFormula>SUMIFS('BD COMPRAS REGISTRADAS'!D:D,'BD COMPRAS REGISTRADAS'!B:B,"&gt;="&amp;Tabla2[[#This Row],[Desde]],'BD COMPRAS REGISTRADAS'!B:B,"&lt;="&amp;Tabla2[[#This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3270A-F65A-4AC8-AA5F-87133B091D37}" name="Tabla24" displayName="Tabla24" ref="B31:G48" totalsRowShown="0" headerRowDxfId="34" dataDxfId="32" headerRowBorderDxfId="33" tableBorderDxfId="31" totalsRowBorderDxfId="30">
  <tableColumns count="6">
    <tableColumn id="1" xr3:uid="{9AE21BF6-C6AA-42EB-BF33-20ECB2E370DA}" name="Del" dataDxfId="29">
      <calculatedColumnFormula>DAY(D32)</calculatedColumnFormula>
    </tableColumn>
    <tableColumn id="2" xr3:uid="{F942B441-0837-4C2E-8A64-7BE0C31FE76B}" name="Al" dataDxfId="28">
      <calculatedColumnFormula xml:space="preserve"> DAY(E32)</calculatedColumnFormula>
    </tableColumn>
    <tableColumn id="3" xr3:uid="{92FF9306-F45B-4959-9345-CC94DD17DEE1}" name="Desde" dataDxfId="27"/>
    <tableColumn id="4" xr3:uid="{63C8F18B-355A-4048-B7DA-1EE4CA955F80}" name="Hasta" dataDxfId="26"/>
    <tableColumn id="5" xr3:uid="{0EC510B3-C05D-4E9E-9F41-D88E69D3C616}" name="Total con y sin IVA" dataDxfId="25" dataCellStyle="Moneda">
      <calculatedColumnFormula>SUMIFS('BD COMPRAS REGISTRADAS'!I:I,'BD COMPRAS REGISTRADAS'!B:B, "&gt;="&amp;Tabla24[[#This Row],[Desde]],'BD COMPRAS REGISTRADAS'!B:B, "&lt;="&amp;Tabla24[[#This Row],[Hasta]],'BD COMPRAS REGISTRADAS'!A:A,"="&amp;Inicio!$D$13)</calculatedColumnFormula>
    </tableColumn>
    <tableColumn id="6" xr3:uid="{C2094EFE-0CDD-46E5-A214-1004EBFA8B9D}" name="Con IVA" dataDxfId="24" dataCellStyle="Moneda">
      <calculatedColumnFormula>SUMIFS('BD COMPRAS REGISTRADAS'!D:D,'BD COMPRAS REGISTRADAS'!B:B,"&gt;="&amp;Tabla24[[#This Row],[Desde]],'BD COMPRAS REGISTRADAS'!B:B,"&lt;="&amp;Tabla24[[#This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EA56B7-F35A-4DC5-A1B2-9F76AC8AE453}" name="Tabla25" displayName="Tabla25" ref="B55:G73" totalsRowShown="0" headerRowDxfId="23" dataDxfId="21" headerRowBorderDxfId="22" tableBorderDxfId="20" totalsRowBorderDxfId="19">
  <tableColumns count="6">
    <tableColumn id="1" xr3:uid="{BBFA00A4-7E74-464E-BA3A-CEBB63FABDD4}" name="Del" dataDxfId="18">
      <calculatedColumnFormula>DAY(D56)</calculatedColumnFormula>
    </tableColumn>
    <tableColumn id="2" xr3:uid="{7A0AF9A1-7864-4FAD-9C8B-3703C43B1164}" name="Al" dataDxfId="17">
      <calculatedColumnFormula xml:space="preserve"> DAY(E56)</calculatedColumnFormula>
    </tableColumn>
    <tableColumn id="3" xr3:uid="{0D2DA480-5F7C-4C12-A217-F488A820A49D}" name="Desde" dataDxfId="16"/>
    <tableColumn id="4" xr3:uid="{CA1A459A-3E97-4A4C-9025-B8AECD35BA38}" name="Hasta" dataDxfId="15"/>
    <tableColumn id="5" xr3:uid="{F304C378-FF2C-4AA6-B234-C5AF02C2301C}" name="Total con y sin IVA" dataDxfId="14" dataCellStyle="Moneda">
      <calculatedColumnFormula>SUMIFS('BD COMPRAS REGISTRADAS'!I:I,'BD COMPRAS REGISTRADAS'!B:B, "&gt;="&amp;Tabla25[[#This Row],[Desde]],'BD COMPRAS REGISTRADAS'!B:B, "&lt;="&amp;Tabla25[[#This Row],[Hasta]],'BD COMPRAS REGISTRADAS'!A:A,"="&amp;Inicio!$D$13)</calculatedColumnFormula>
    </tableColumn>
    <tableColumn id="6" xr3:uid="{BD7B0974-CC50-40D1-A4D8-8D710A81D0D2}" name="Con IVA" dataDxfId="13" dataCellStyle="Moneda">
      <calculatedColumnFormula>SUMIFS('BD COMPRAS REGISTRADAS'!D:D,'BD COMPRAS REGISTRADAS'!B:B,"&gt;="&amp;Tabla25[[#This Row],[Desde]],'BD COMPRAS REGISTRADAS'!B:B,"&lt;="&amp;Tabla25[[#This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8E8946-7D89-4AB7-98F3-A62333CFFE2E}" name="Tabla26" displayName="Tabla26" ref="B79:G97" totalsRowShown="0" headerRowDxfId="12" dataDxfId="10" headerRowBorderDxfId="11" tableBorderDxfId="9" totalsRowBorderDxfId="8">
  <tableColumns count="6">
    <tableColumn id="1" xr3:uid="{E9DC4355-214D-4C06-8266-DBB9DF27A028}" name="Del" dataDxfId="7">
      <calculatedColumnFormula>DAY(D80)</calculatedColumnFormula>
    </tableColumn>
    <tableColumn id="2" xr3:uid="{F2CC307A-3CB4-4A13-9514-FAF6728F77BC}" name="Al" dataDxfId="6">
      <calculatedColumnFormula xml:space="preserve"> DAY(E80)</calculatedColumnFormula>
    </tableColumn>
    <tableColumn id="3" xr3:uid="{78E1B907-D9D4-4ED0-BB80-BFD2C3093044}" name="Desde" dataDxfId="5"/>
    <tableColumn id="4" xr3:uid="{F46367D3-A37B-4DDE-8B4F-ECAE7FD689B5}" name="Hasta" dataDxfId="4"/>
    <tableColumn id="5" xr3:uid="{7E6E9B6D-93EC-49BB-BC67-2E3A62E13DB8}" name="Total con y sin IVA" dataDxfId="3" dataCellStyle="Moneda">
      <calculatedColumnFormula>SUMIFS('BD COMPRAS REGISTRADAS'!I:I,'BD COMPRAS REGISTRADAS'!B:B, "&gt;="&amp;Tabla26[[#This Row],[Desde]],'BD COMPRAS REGISTRADAS'!B:B, "&lt;="&amp;Tabla26[[#This Row],[Hasta]],'BD COMPRAS REGISTRADAS'!A:A,"="&amp;Inicio!$D$13)</calculatedColumnFormula>
    </tableColumn>
    <tableColumn id="6" xr3:uid="{BBA0BAAE-40CE-465A-9258-4A2D594900DC}" name="Con IVA" dataDxfId="2" dataCellStyle="Moneda">
      <calculatedColumnFormula>SUMIFS('BD COMPRAS REGISTRADAS'!D:D,'BD COMPRAS REGISTRADAS'!B:B,"&gt;="&amp;Tabla26[[#This Row],[Desde]],'BD COMPRAS REGISTRADAS'!B:B,"&lt;="&amp;Tabla26[[#This Row],[Hasta]],'BD COMPRAS REGISTRADAS'!A:A,"="&amp;Inicio!$D$13)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5"/>
  <sheetViews>
    <sheetView tabSelected="1" zoomScale="78" zoomScaleNormal="78" workbookViewId="0">
      <selection activeCell="E18" sqref="E18"/>
    </sheetView>
  </sheetViews>
  <sheetFormatPr baseColWidth="10" defaultColWidth="15.6328125" defaultRowHeight="15" customHeight="1"/>
  <cols>
    <col min="1" max="25" width="15.6328125" style="2"/>
    <col min="26" max="26" width="15.6328125" style="2" customWidth="1"/>
    <col min="27" max="16384" width="15.63281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C4" s="57" t="s">
        <v>11</v>
      </c>
      <c r="D4" s="57"/>
      <c r="E4" s="57"/>
      <c r="F4" s="57"/>
      <c r="G4" s="57"/>
      <c r="H4" s="57"/>
      <c r="I4" s="57"/>
      <c r="Z4" s="2" t="str">
        <f>"Comercio minorista (Tiendas-Pulperías, etc)"</f>
        <v>Comercio minorista (Tiendas-Pulperías, etc)</v>
      </c>
    </row>
    <row r="5" spans="3:26" ht="15" customHeight="1">
      <c r="C5" s="57"/>
      <c r="D5" s="57"/>
      <c r="E5" s="57"/>
      <c r="F5" s="57"/>
      <c r="G5" s="57"/>
      <c r="H5" s="57"/>
      <c r="I5" s="57"/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E9"/>
      <c r="F9"/>
      <c r="G9"/>
      <c r="H9"/>
      <c r="Z9" s="2" t="str">
        <f>"Pescadores artesanales en pequeña escala"</f>
        <v>Pescadores artesanales en pequeña escala</v>
      </c>
    </row>
    <row r="10" spans="3:26" ht="15" customHeight="1">
      <c r="E10"/>
      <c r="F10"/>
      <c r="G10"/>
      <c r="H10"/>
      <c r="Z10" s="2" t="str">
        <f>"Pequeños productores agrícolas (ferias agricultor)"</f>
        <v>Pequeños productores agrícolas (ferias agricultor)</v>
      </c>
    </row>
    <row r="11" spans="3:26" ht="15" customHeight="1">
      <c r="E11"/>
      <c r="F11"/>
      <c r="G11"/>
      <c r="H11"/>
      <c r="Z11" s="2" t="str">
        <f>"Floristerías"</f>
        <v>Floristerías</v>
      </c>
    </row>
    <row r="12" spans="3:26" ht="15" customHeight="1">
      <c r="E12"/>
      <c r="F12"/>
      <c r="G12"/>
      <c r="H12"/>
      <c r="Z12" s="2" t="str">
        <f>"Fabricación productos metálicos estructurales"</f>
        <v>Fabricación productos metálicos estructurales</v>
      </c>
    </row>
    <row r="13" spans="3:26" ht="15" customHeight="1">
      <c r="D13" s="58" t="s">
        <v>14</v>
      </c>
      <c r="E13" s="58"/>
      <c r="F13" s="58"/>
      <c r="G13" s="58"/>
      <c r="H13" s="58"/>
      <c r="Z13" s="2" t="str">
        <f>"Pescadores artesanales medios"</f>
        <v>Pescadores artesanales medios</v>
      </c>
    </row>
    <row r="14" spans="3:26" ht="15" customHeight="1">
      <c r="D14" s="58"/>
      <c r="E14" s="58"/>
      <c r="F14" s="58"/>
      <c r="G14" s="58"/>
      <c r="H14" s="58"/>
      <c r="Z14" s="2" t="str">
        <f>"Taxi (solo un vehículo)"</f>
        <v>Taxi (solo un vehículo)</v>
      </c>
    </row>
    <row r="15" spans="3:26" ht="15" customHeight="1">
      <c r="D15"/>
      <c r="E15"/>
      <c r="F15"/>
      <c r="G15"/>
      <c r="H15"/>
    </row>
  </sheetData>
  <sheetProtection selectLockedCells="1"/>
  <mergeCells count="2">
    <mergeCell ref="C4:I5"/>
    <mergeCell ref="D13:H14"/>
  </mergeCells>
  <dataValidations count="2">
    <dataValidation type="list" allowBlank="1" showInputMessage="1" showErrorMessage="1" sqref="E11:H12" xr:uid="{47CD6D45-305F-4780-B43B-7B844B969289}">
      <formula1>#REF!</formula1>
    </dataValidation>
    <dataValidation type="list" allowBlank="1" showInputMessage="1" showErrorMessage="1" sqref="D13" xr:uid="{294B93EF-FF06-411F-8112-A7E6620DC886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89" zoomScaleNormal="90" workbookViewId="0">
      <selection activeCell="AA8" sqref="AA8"/>
    </sheetView>
  </sheetViews>
  <sheetFormatPr baseColWidth="10" defaultColWidth="15.6328125" defaultRowHeight="15" customHeight="1"/>
  <cols>
    <col min="1" max="1" width="15.6328125" style="1"/>
    <col min="2" max="2" width="15.6328125" style="17"/>
    <col min="3" max="3" width="5.6328125" style="1" customWidth="1"/>
    <col min="4" max="4" width="30" style="18" customWidth="1"/>
    <col min="5" max="16384" width="15.6328125" style="1"/>
  </cols>
  <sheetData>
    <row r="2" spans="1:8" ht="13.8" customHeight="1">
      <c r="A2"/>
      <c r="B2"/>
      <c r="C2"/>
      <c r="D2"/>
      <c r="G2"/>
      <c r="H2"/>
    </row>
    <row r="3" spans="1:8" ht="30" customHeight="1">
      <c r="A3"/>
      <c r="B3"/>
      <c r="C3"/>
      <c r="D3"/>
      <c r="E3"/>
      <c r="F3" s="21" t="s">
        <v>0</v>
      </c>
      <c r="G3"/>
      <c r="H3"/>
    </row>
    <row r="4" spans="1:8" ht="15" customHeight="1">
      <c r="A4"/>
      <c r="B4"/>
      <c r="C4"/>
      <c r="E4"/>
      <c r="F4"/>
      <c r="G4"/>
      <c r="H4"/>
    </row>
    <row r="5" spans="1:8" ht="14.4" customHeight="1" thickBot="1"/>
    <row r="6" spans="1:8" ht="17.399999999999999" customHeight="1" thickBot="1">
      <c r="B6" s="17" t="s">
        <v>21</v>
      </c>
      <c r="D6" s="30" t="str">
        <f>Inicio!D13</f>
        <v>Fabricación artesanal de calzado</v>
      </c>
    </row>
    <row r="7" spans="1:8" ht="15" customHeight="1" thickBot="1"/>
    <row r="8" spans="1:8" ht="15" customHeight="1" thickBot="1">
      <c r="B8" s="17" t="s">
        <v>1</v>
      </c>
      <c r="D8" s="25">
        <v>45344</v>
      </c>
    </row>
    <row r="9" spans="1:8" ht="15" customHeight="1" thickBot="1">
      <c r="B9" s="1"/>
    </row>
    <row r="10" spans="1:8" ht="15" customHeight="1" thickBot="1">
      <c r="B10" s="17" t="s">
        <v>2</v>
      </c>
      <c r="D10" s="26" t="s">
        <v>29</v>
      </c>
      <c r="E10"/>
      <c r="F10"/>
    </row>
    <row r="11" spans="1:8" ht="15" customHeight="1" thickBot="1">
      <c r="D11"/>
      <c r="E11"/>
    </row>
    <row r="12" spans="1:8" ht="15" customHeight="1" thickBot="1">
      <c r="B12" s="17" t="s">
        <v>15</v>
      </c>
      <c r="D12" s="28">
        <v>9000</v>
      </c>
      <c r="E12"/>
      <c r="F12"/>
    </row>
    <row r="13" spans="1:8" ht="15" customHeight="1" thickBot="1">
      <c r="D13"/>
      <c r="E13"/>
      <c r="F13"/>
    </row>
    <row r="14" spans="1:8" ht="15" customHeight="1" thickBot="1">
      <c r="B14" s="17" t="s">
        <v>17</v>
      </c>
      <c r="D14" s="28">
        <v>8888</v>
      </c>
      <c r="E14"/>
      <c r="F14"/>
    </row>
    <row r="15" spans="1:8" ht="15" customHeight="1" thickBot="1">
      <c r="D15"/>
      <c r="E15"/>
      <c r="F15"/>
    </row>
    <row r="16" spans="1:8" ht="15" customHeight="1" thickBot="1">
      <c r="B16" s="17" t="s">
        <v>16</v>
      </c>
      <c r="D16" s="28">
        <v>6999</v>
      </c>
      <c r="E16"/>
      <c r="F16"/>
    </row>
    <row r="17" spans="1:10" ht="15" customHeight="1" thickBot="1">
      <c r="D17"/>
      <c r="E17"/>
      <c r="F17"/>
    </row>
    <row r="18" spans="1:10" ht="15" customHeight="1" thickBot="1">
      <c r="A18" s="17"/>
      <c r="B18" s="17" t="s">
        <v>18</v>
      </c>
      <c r="D18" s="28">
        <v>0</v>
      </c>
      <c r="E18"/>
      <c r="F18"/>
    </row>
    <row r="19" spans="1:10" ht="15" customHeight="1" thickBot="1">
      <c r="D19"/>
      <c r="E19"/>
      <c r="F19"/>
    </row>
    <row r="20" spans="1:10" ht="15" customHeight="1" thickBot="1">
      <c r="B20" s="17" t="s">
        <v>19</v>
      </c>
      <c r="D20" s="28">
        <v>0</v>
      </c>
      <c r="E20"/>
      <c r="F20"/>
      <c r="G20"/>
      <c r="H20"/>
    </row>
    <row r="21" spans="1:10" ht="15" customHeight="1" thickBot="1">
      <c r="D21"/>
      <c r="E21"/>
      <c r="F21"/>
      <c r="G21" s="20"/>
    </row>
    <row r="22" spans="1:10" ht="15" customHeight="1" thickBot="1">
      <c r="B22" s="17" t="s">
        <v>20</v>
      </c>
      <c r="D22" s="27">
        <f>+D20+D18+D16+D14+D12</f>
        <v>24887</v>
      </c>
      <c r="E22"/>
      <c r="F22"/>
      <c r="G22" s="20"/>
    </row>
    <row r="23" spans="1:10" ht="15" customHeight="1" thickBot="1">
      <c r="D23"/>
      <c r="E23"/>
      <c r="F23"/>
      <c r="G23" s="20"/>
    </row>
    <row r="24" spans="1:10" ht="15" customHeight="1" thickBot="1">
      <c r="B24" s="17" t="s">
        <v>4</v>
      </c>
      <c r="D24" s="59" t="s">
        <v>69</v>
      </c>
      <c r="E24" s="60"/>
      <c r="F24" s="61"/>
      <c r="G24" s="20"/>
    </row>
    <row r="25" spans="1:10" ht="15" customHeight="1">
      <c r="D25"/>
      <c r="E25"/>
      <c r="F25"/>
    </row>
    <row r="28" spans="1:10" ht="15" customHeight="1">
      <c r="G28"/>
      <c r="H28"/>
      <c r="I28"/>
      <c r="J28"/>
    </row>
    <row r="29" spans="1:10" ht="15" customHeight="1">
      <c r="G29"/>
      <c r="H29"/>
      <c r="I29"/>
      <c r="J29"/>
    </row>
    <row r="30" spans="1:10" ht="15" customHeight="1">
      <c r="G30"/>
      <c r="H30"/>
      <c r="I30"/>
      <c r="J30"/>
    </row>
    <row r="31" spans="1:10" ht="15" customHeight="1">
      <c r="G31"/>
      <c r="H31"/>
      <c r="I31"/>
      <c r="J31"/>
    </row>
    <row r="32" spans="1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1">
    <mergeCell ref="D24:F2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J16"/>
  <sheetViews>
    <sheetView zoomScale="85" zoomScaleNormal="85" workbookViewId="0">
      <selection activeCell="A12" sqref="A12"/>
    </sheetView>
  </sheetViews>
  <sheetFormatPr baseColWidth="10" defaultColWidth="15.6328125" defaultRowHeight="15" customHeight="1"/>
  <cols>
    <col min="2" max="6" width="15.6328125" style="8"/>
    <col min="9" max="9" width="28.08984375" bestFit="1" customWidth="1"/>
  </cols>
  <sheetData>
    <row r="2" spans="1:10" s="1" customFormat="1" ht="15" customHeight="1">
      <c r="B2" s="62" t="s">
        <v>5</v>
      </c>
      <c r="C2" s="63"/>
      <c r="D2" s="63"/>
      <c r="E2" s="63"/>
      <c r="F2" s="64"/>
      <c r="G2" s="3"/>
      <c r="H2" s="3"/>
      <c r="I2" s="3"/>
    </row>
    <row r="3" spans="1:10" s="1" customFormat="1" ht="15" customHeight="1">
      <c r="B3" s="65"/>
      <c r="C3" s="66"/>
      <c r="D3" s="66"/>
      <c r="E3" s="66"/>
      <c r="F3" s="67"/>
      <c r="G3" s="3"/>
      <c r="H3" s="3"/>
      <c r="I3" s="3"/>
    </row>
    <row r="4" spans="1:10" s="1" customFormat="1" ht="15" customHeight="1">
      <c r="B4" s="68"/>
      <c r="C4" s="69"/>
      <c r="D4" s="69"/>
      <c r="E4" s="69"/>
      <c r="F4" s="70"/>
      <c r="G4" s="3"/>
      <c r="H4" s="3"/>
      <c r="I4" s="3"/>
    </row>
    <row r="5" spans="1:10" s="1" customFormat="1" ht="12" customHeight="1">
      <c r="B5" s="23"/>
      <c r="C5" s="23"/>
      <c r="D5" s="23"/>
      <c r="E5" s="23"/>
      <c r="F5" s="23"/>
      <c r="G5" s="3"/>
      <c r="H5" s="3"/>
      <c r="I5" s="3"/>
    </row>
    <row r="6" spans="1:10" ht="18.600000000000001" customHeight="1">
      <c r="D6" s="71" t="s">
        <v>28</v>
      </c>
      <c r="E6" s="71"/>
      <c r="F6" s="71"/>
      <c r="G6" s="71"/>
    </row>
    <row r="7" spans="1:10" ht="15" customHeight="1">
      <c r="A7" s="29" t="s">
        <v>21</v>
      </c>
      <c r="B7" s="4" t="s">
        <v>1</v>
      </c>
      <c r="C7" s="4" t="s">
        <v>2</v>
      </c>
      <c r="D7" s="4" t="s">
        <v>22</v>
      </c>
      <c r="E7" s="4" t="s">
        <v>23</v>
      </c>
      <c r="F7" s="4" t="s">
        <v>24</v>
      </c>
      <c r="G7" s="4" t="s">
        <v>25</v>
      </c>
      <c r="H7" s="4" t="s">
        <v>19</v>
      </c>
      <c r="I7" s="4" t="s">
        <v>20</v>
      </c>
      <c r="J7" s="4" t="s">
        <v>4</v>
      </c>
    </row>
    <row r="8" spans="1:10" ht="15" customHeight="1">
      <c r="B8" s="19">
        <v>44653</v>
      </c>
      <c r="C8" s="4" t="s">
        <v>31</v>
      </c>
      <c r="D8" s="4">
        <v>200</v>
      </c>
      <c r="E8" s="4">
        <v>122</v>
      </c>
      <c r="F8" s="4">
        <v>67</v>
      </c>
      <c r="G8" s="4">
        <v>45</v>
      </c>
      <c r="H8" s="4">
        <v>0</v>
      </c>
      <c r="I8" s="4">
        <v>434</v>
      </c>
      <c r="J8" s="4" t="s">
        <v>30</v>
      </c>
    </row>
    <row r="9" spans="1:10" ht="15" customHeight="1">
      <c r="A9" t="s">
        <v>14</v>
      </c>
      <c r="B9" s="19">
        <v>45292</v>
      </c>
      <c r="C9" s="4" t="s">
        <v>32</v>
      </c>
      <c r="D9" s="4">
        <v>100</v>
      </c>
      <c r="E9" s="4">
        <v>1000</v>
      </c>
      <c r="F9" s="4">
        <v>500</v>
      </c>
      <c r="G9" s="4">
        <v>50000</v>
      </c>
      <c r="H9" s="4">
        <v>0</v>
      </c>
      <c r="I9" s="4">
        <v>51500</v>
      </c>
      <c r="J9" s="4" t="s">
        <v>33</v>
      </c>
    </row>
    <row r="10" spans="1:10" ht="15" customHeight="1">
      <c r="A10" t="s">
        <v>14</v>
      </c>
      <c r="B10" s="19">
        <v>45386</v>
      </c>
      <c r="C10" s="4" t="s">
        <v>67</v>
      </c>
      <c r="D10" s="4">
        <v>10000</v>
      </c>
      <c r="E10" s="4">
        <v>0</v>
      </c>
      <c r="F10" s="4">
        <v>80</v>
      </c>
      <c r="G10" s="4">
        <v>688</v>
      </c>
      <c r="H10" s="4">
        <v>0</v>
      </c>
      <c r="I10" s="4">
        <v>10768</v>
      </c>
      <c r="J10" s="4" t="s">
        <v>68</v>
      </c>
    </row>
    <row r="11" spans="1:10" ht="15" customHeight="1">
      <c r="A11" t="s">
        <v>14</v>
      </c>
      <c r="B11" s="19">
        <v>45483</v>
      </c>
      <c r="C11" s="4" t="s">
        <v>29</v>
      </c>
      <c r="D11" s="4">
        <v>9000</v>
      </c>
      <c r="E11" s="4">
        <v>8888</v>
      </c>
      <c r="F11" s="4">
        <v>6999</v>
      </c>
      <c r="G11" s="4">
        <v>0</v>
      </c>
      <c r="H11" s="4">
        <v>0</v>
      </c>
      <c r="I11" s="4">
        <v>24887</v>
      </c>
      <c r="J11" s="4" t="s">
        <v>69</v>
      </c>
    </row>
    <row r="12" spans="1:10" ht="15" customHeight="1">
      <c r="A12" t="s">
        <v>14</v>
      </c>
      <c r="B12" s="19">
        <v>45575</v>
      </c>
      <c r="C12" s="4" t="s">
        <v>29</v>
      </c>
      <c r="D12" s="4">
        <v>9000</v>
      </c>
      <c r="E12" s="4">
        <v>8888</v>
      </c>
      <c r="F12" s="4">
        <v>6999</v>
      </c>
      <c r="G12" s="4">
        <v>0</v>
      </c>
      <c r="H12" s="4">
        <v>0</v>
      </c>
      <c r="I12" s="4">
        <v>24887</v>
      </c>
      <c r="J12" s="4" t="s">
        <v>69</v>
      </c>
    </row>
    <row r="13" spans="1:10" ht="15" customHeight="1">
      <c r="A13" t="s">
        <v>14</v>
      </c>
      <c r="B13" s="19">
        <v>45301</v>
      </c>
      <c r="C13" s="4" t="s">
        <v>29</v>
      </c>
      <c r="D13" s="4">
        <v>9000</v>
      </c>
      <c r="E13" s="4">
        <v>8888</v>
      </c>
      <c r="F13" s="4">
        <v>6999</v>
      </c>
      <c r="G13" s="4">
        <v>0</v>
      </c>
      <c r="H13" s="4">
        <v>0</v>
      </c>
      <c r="I13" s="4">
        <v>24887</v>
      </c>
      <c r="J13" s="4" t="s">
        <v>69</v>
      </c>
    </row>
    <row r="14" spans="1:10" ht="15" customHeight="1">
      <c r="A14" t="s">
        <v>14</v>
      </c>
      <c r="B14" s="19">
        <v>45313</v>
      </c>
      <c r="C14" s="4" t="s">
        <v>29</v>
      </c>
      <c r="D14" s="4">
        <v>9000</v>
      </c>
      <c r="E14" s="4">
        <v>8888</v>
      </c>
      <c r="F14" s="4">
        <v>6999</v>
      </c>
      <c r="G14" s="4">
        <v>0</v>
      </c>
      <c r="H14" s="4">
        <v>0</v>
      </c>
      <c r="I14" s="4">
        <v>24887</v>
      </c>
      <c r="J14" s="4" t="s">
        <v>69</v>
      </c>
    </row>
    <row r="15" spans="1:10" ht="15" customHeight="1">
      <c r="A15" t="s">
        <v>14</v>
      </c>
      <c r="B15" s="19">
        <v>45344</v>
      </c>
      <c r="C15" s="4" t="s">
        <v>29</v>
      </c>
      <c r="D15" s="4">
        <v>9000</v>
      </c>
      <c r="E15" s="4">
        <v>8888</v>
      </c>
      <c r="F15" s="4">
        <v>6999</v>
      </c>
      <c r="G15" s="4">
        <v>0</v>
      </c>
      <c r="H15" s="4">
        <v>0</v>
      </c>
      <c r="I15" s="4">
        <v>24887</v>
      </c>
      <c r="J15" s="4" t="s">
        <v>69</v>
      </c>
    </row>
    <row r="16" spans="1:10" ht="15" customHeight="1">
      <c r="A16" s="8"/>
      <c r="B16" s="5"/>
      <c r="C16" s="6"/>
      <c r="D16" s="7">
        <f>SUBTOTAL(109,COMPRAS_REGISTRADAS[IVA AL 13%])</f>
        <v>55300</v>
      </c>
      <c r="E16" s="7"/>
      <c r="F16" s="6"/>
      <c r="G16" s="8"/>
      <c r="I16" s="4"/>
      <c r="J16" s="4"/>
    </row>
  </sheetData>
  <mergeCells count="2">
    <mergeCell ref="B2:F4"/>
    <mergeCell ref="D6:G6"/>
  </mergeCells>
  <phoneticPr fontId="1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3:I98"/>
  <sheetViews>
    <sheetView workbookViewId="0">
      <selection activeCell="J8" sqref="J8"/>
    </sheetView>
  </sheetViews>
  <sheetFormatPr baseColWidth="10" defaultColWidth="15.6328125" defaultRowHeight="15" customHeight="1"/>
  <cols>
    <col min="1" max="16384" width="15.6328125" style="1"/>
  </cols>
  <sheetData>
    <row r="3" spans="1:9" ht="15" customHeight="1">
      <c r="A3" s="74" t="s">
        <v>34</v>
      </c>
      <c r="B3" s="74"/>
      <c r="C3" s="74"/>
      <c r="D3" s="74"/>
      <c r="E3" s="74"/>
      <c r="F3" s="74"/>
      <c r="G3" s="74"/>
    </row>
    <row r="4" spans="1:9" ht="15" customHeight="1">
      <c r="A4" s="74" t="s">
        <v>48</v>
      </c>
      <c r="B4" s="74"/>
      <c r="C4" s="74"/>
      <c r="D4" s="74"/>
      <c r="E4" s="74"/>
      <c r="F4" s="74"/>
      <c r="G4" s="74"/>
      <c r="I4" s="18" t="s">
        <v>72</v>
      </c>
    </row>
    <row r="5" spans="1:9" ht="15" customHeight="1">
      <c r="A5" s="31"/>
      <c r="B5" s="31"/>
      <c r="C5" s="31"/>
      <c r="D5" s="32"/>
      <c r="E5" s="32"/>
      <c r="F5" s="33"/>
      <c r="G5" s="33"/>
      <c r="I5" s="1" t="s">
        <v>49</v>
      </c>
    </row>
    <row r="6" spans="1:9" ht="15" customHeight="1">
      <c r="A6" s="34" t="s">
        <v>49</v>
      </c>
      <c r="B6" s="75" t="s">
        <v>36</v>
      </c>
      <c r="C6" s="75"/>
      <c r="D6" s="76" t="s">
        <v>37</v>
      </c>
      <c r="E6" s="76"/>
      <c r="F6" s="77" t="s">
        <v>38</v>
      </c>
      <c r="G6" s="77"/>
      <c r="I6" s="1" t="s">
        <v>50</v>
      </c>
    </row>
    <row r="7" spans="1:9" ht="15" customHeight="1">
      <c r="A7" s="35" t="s">
        <v>39</v>
      </c>
      <c r="B7" s="36" t="s">
        <v>40</v>
      </c>
      <c r="C7" s="37" t="s">
        <v>41</v>
      </c>
      <c r="D7" s="38" t="s">
        <v>42</v>
      </c>
      <c r="E7" s="38" t="s">
        <v>43</v>
      </c>
      <c r="F7" s="39" t="s">
        <v>26</v>
      </c>
      <c r="G7" s="40" t="s">
        <v>27</v>
      </c>
      <c r="I7" s="1" t="s">
        <v>51</v>
      </c>
    </row>
    <row r="8" spans="1:9" ht="15" customHeight="1">
      <c r="A8" s="72" t="s">
        <v>52</v>
      </c>
      <c r="B8" s="42">
        <f t="shared" ref="B8:B12" si="0">DAY(D8)</f>
        <v>1</v>
      </c>
      <c r="C8" s="43">
        <f xml:space="preserve"> DAY(E8)</f>
        <v>7</v>
      </c>
      <c r="D8" s="44">
        <v>45292</v>
      </c>
      <c r="E8" s="44">
        <v>45298</v>
      </c>
      <c r="F8" s="45">
        <f>SUMIFS('BD COMPRAS REGISTRADAS'!I:I,'BD COMPRAS REGISTRADAS'!B:B, "&gt;="&amp;Tabla2[[#This Row],[Desde]],'BD COMPRAS REGISTRADAS'!B:B, "&lt;="&amp;Tabla2[[#This Row],[Hasta]],'BD COMPRAS REGISTRADAS'!A:A,"="&amp;Inicio!$D$13)</f>
        <v>51500</v>
      </c>
      <c r="G8" s="46">
        <f>SUMIFS('BD COMPRAS REGISTRADAS'!D:D,'BD COMPRAS REGISTRADAS'!B:B,"&gt;="&amp;Tabla2[[#This Row],[Desde]],'BD COMPRAS REGISTRADAS'!B:B,"&lt;="&amp;Tabla2[[#This Row],[Hasta]],'BD COMPRAS REGISTRADAS'!A:A,"="&amp;Inicio!$D$13)</f>
        <v>100</v>
      </c>
      <c r="I8" s="1" t="s">
        <v>73</v>
      </c>
    </row>
    <row r="9" spans="1:9" ht="15" customHeight="1">
      <c r="A9" s="72"/>
      <c r="B9" s="42">
        <f t="shared" si="0"/>
        <v>8</v>
      </c>
      <c r="C9" s="43">
        <f t="shared" ref="C9:C12" si="1" xml:space="preserve"> DAY(E9)</f>
        <v>14</v>
      </c>
      <c r="D9" s="44">
        <v>45299</v>
      </c>
      <c r="E9" s="44">
        <v>45305</v>
      </c>
      <c r="F9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9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0" spans="1:9" ht="15" customHeight="1">
      <c r="A10" s="72"/>
      <c r="B10" s="42">
        <f t="shared" si="0"/>
        <v>15</v>
      </c>
      <c r="C10" s="43">
        <f t="shared" si="1"/>
        <v>21</v>
      </c>
      <c r="D10" s="44">
        <v>45306</v>
      </c>
      <c r="E10" s="44">
        <v>45312</v>
      </c>
      <c r="F10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0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1" spans="1:9" ht="15" customHeight="1">
      <c r="A11" s="72"/>
      <c r="B11" s="42">
        <f t="shared" si="0"/>
        <v>22</v>
      </c>
      <c r="C11" s="43">
        <f t="shared" si="1"/>
        <v>28</v>
      </c>
      <c r="D11" s="44">
        <v>45313</v>
      </c>
      <c r="E11" s="44">
        <v>45319</v>
      </c>
      <c r="F11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1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2" spans="1:9" ht="15" customHeight="1">
      <c r="A12" s="72"/>
      <c r="B12" s="42">
        <f t="shared" si="0"/>
        <v>29</v>
      </c>
      <c r="C12" s="43">
        <f t="shared" si="1"/>
        <v>31</v>
      </c>
      <c r="D12" s="44">
        <v>45320</v>
      </c>
      <c r="E12" s="44">
        <v>45322</v>
      </c>
      <c r="F12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2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3" spans="1:9" ht="15" customHeight="1">
      <c r="A13" s="41"/>
      <c r="B13" s="42"/>
      <c r="C13" s="43"/>
      <c r="D13" s="44"/>
      <c r="E13" s="44"/>
      <c r="F13" s="45"/>
      <c r="G13" s="46"/>
    </row>
    <row r="14" spans="1:9" ht="15" customHeight="1">
      <c r="A14" s="72" t="s">
        <v>53</v>
      </c>
      <c r="B14" s="42">
        <f>DAY(D14)</f>
        <v>1</v>
      </c>
      <c r="C14" s="43">
        <f xml:space="preserve"> DAY(E14)</f>
        <v>4</v>
      </c>
      <c r="D14" s="44">
        <v>45323</v>
      </c>
      <c r="E14" s="44">
        <v>45326</v>
      </c>
      <c r="F14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4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5" spans="1:9" ht="15" customHeight="1">
      <c r="A15" s="72" t="s">
        <v>44</v>
      </c>
      <c r="B15" s="42">
        <f>DAY(D15)</f>
        <v>5</v>
      </c>
      <c r="C15" s="43">
        <f xml:space="preserve"> DAY(E15)</f>
        <v>11</v>
      </c>
      <c r="D15" s="44">
        <v>45327</v>
      </c>
      <c r="E15" s="44">
        <v>45333</v>
      </c>
      <c r="F15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5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6" spans="1:9" ht="15" customHeight="1">
      <c r="A16" s="72" t="s">
        <v>44</v>
      </c>
      <c r="B16" s="42">
        <f>DAY(D16)</f>
        <v>12</v>
      </c>
      <c r="C16" s="43">
        <f xml:space="preserve"> DAY(E16)</f>
        <v>18</v>
      </c>
      <c r="D16" s="44">
        <v>45334</v>
      </c>
      <c r="E16" s="44">
        <v>45340</v>
      </c>
      <c r="F16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6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7" spans="1:7" ht="15" customHeight="1">
      <c r="A17" s="72" t="s">
        <v>44</v>
      </c>
      <c r="B17" s="42">
        <f>DAY(D17)</f>
        <v>19</v>
      </c>
      <c r="C17" s="43">
        <f xml:space="preserve"> DAY(E17)</f>
        <v>25</v>
      </c>
      <c r="D17" s="44">
        <v>45341</v>
      </c>
      <c r="E17" s="44">
        <v>45347</v>
      </c>
      <c r="F17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7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8" spans="1:7" ht="15" customHeight="1">
      <c r="A18" s="72" t="s">
        <v>44</v>
      </c>
      <c r="B18" s="42">
        <f>DAY(D18)</f>
        <v>26</v>
      </c>
      <c r="C18" s="43">
        <f xml:space="preserve"> DAY(E18)</f>
        <v>29</v>
      </c>
      <c r="D18" s="44">
        <v>45348</v>
      </c>
      <c r="E18" s="44">
        <v>45351</v>
      </c>
      <c r="F18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8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9" spans="1:7" ht="15" customHeight="1">
      <c r="A19" s="41"/>
      <c r="B19" s="42"/>
      <c r="C19" s="43"/>
      <c r="D19" s="44"/>
      <c r="E19" s="44"/>
      <c r="F19" s="45"/>
      <c r="G19" s="46"/>
    </row>
    <row r="20" spans="1:7" ht="15" customHeight="1">
      <c r="A20" s="72" t="s">
        <v>54</v>
      </c>
      <c r="B20" s="42">
        <f>DAY(D20)</f>
        <v>1</v>
      </c>
      <c r="C20" s="43">
        <f xml:space="preserve"> DAY(E20)</f>
        <v>3</v>
      </c>
      <c r="D20" s="44">
        <v>45352</v>
      </c>
      <c r="E20" s="44">
        <v>45354</v>
      </c>
      <c r="F20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0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1" spans="1:7" ht="15" customHeight="1">
      <c r="A21" s="72" t="s">
        <v>46</v>
      </c>
      <c r="B21" s="42">
        <f>DAY(D21)</f>
        <v>4</v>
      </c>
      <c r="C21" s="43">
        <f xml:space="preserve"> DAY(E21)</f>
        <v>10</v>
      </c>
      <c r="D21" s="44">
        <v>45355</v>
      </c>
      <c r="E21" s="44">
        <v>45361</v>
      </c>
      <c r="F21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1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2" spans="1:7" ht="15" customHeight="1">
      <c r="A22" s="72" t="s">
        <v>45</v>
      </c>
      <c r="B22" s="42">
        <f>DAY(D22)</f>
        <v>11</v>
      </c>
      <c r="C22" s="43">
        <f xml:space="preserve"> DAY(E22)</f>
        <v>17</v>
      </c>
      <c r="D22" s="44">
        <v>45362</v>
      </c>
      <c r="E22" s="44">
        <v>45368</v>
      </c>
      <c r="F22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2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3" spans="1:7" ht="15" customHeight="1">
      <c r="A23" s="72" t="s">
        <v>45</v>
      </c>
      <c r="B23" s="42">
        <f>DAY(D23)</f>
        <v>18</v>
      </c>
      <c r="C23" s="43">
        <f xml:space="preserve"> DAY(E23)</f>
        <v>24</v>
      </c>
      <c r="D23" s="44">
        <v>45369</v>
      </c>
      <c r="E23" s="44">
        <v>45375</v>
      </c>
      <c r="F23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3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4" spans="1:7" ht="15" customHeight="1">
      <c r="A24" s="72" t="s">
        <v>45</v>
      </c>
      <c r="B24" s="47">
        <f>DAY(D24)</f>
        <v>25</v>
      </c>
      <c r="C24" s="48">
        <f xml:space="preserve"> DAY(E24)</f>
        <v>31</v>
      </c>
      <c r="D24" s="44">
        <v>45376</v>
      </c>
      <c r="E24" s="44">
        <v>45382</v>
      </c>
      <c r="F24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4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5" spans="1:7" ht="15" customHeight="1">
      <c r="A25" s="73" t="s">
        <v>47</v>
      </c>
      <c r="B25" s="73"/>
      <c r="C25" s="73"/>
      <c r="D25" s="73"/>
      <c r="E25" s="73"/>
      <c r="F25" s="50">
        <f>SUBTOTAL(109,Tabla2[Total con y sin IVA])</f>
        <v>126161</v>
      </c>
      <c r="G25" s="50">
        <f>SUBTOTAL(109,Tabla2[Con IVA])</f>
        <v>27100</v>
      </c>
    </row>
    <row r="27" spans="1:7" ht="15" customHeight="1">
      <c r="A27" s="74" t="s">
        <v>34</v>
      </c>
      <c r="B27" s="74"/>
      <c r="C27" s="74"/>
      <c r="D27" s="74"/>
      <c r="E27" s="74"/>
      <c r="F27" s="74"/>
      <c r="G27" s="74"/>
    </row>
    <row r="28" spans="1:7" ht="15" customHeight="1">
      <c r="A28" s="74" t="s">
        <v>66</v>
      </c>
      <c r="B28" s="74"/>
      <c r="C28" s="74"/>
      <c r="D28" s="74"/>
      <c r="E28" s="74"/>
      <c r="F28" s="74"/>
      <c r="G28" s="74"/>
    </row>
    <row r="29" spans="1:7" ht="15" customHeight="1">
      <c r="A29" s="31"/>
      <c r="B29" s="31"/>
      <c r="C29" s="31"/>
      <c r="D29" s="32"/>
      <c r="E29" s="32"/>
      <c r="F29" s="33"/>
      <c r="G29" s="33"/>
    </row>
    <row r="30" spans="1:7" ht="15" customHeight="1">
      <c r="A30" s="34" t="s">
        <v>50</v>
      </c>
      <c r="B30" s="75" t="s">
        <v>36</v>
      </c>
      <c r="C30" s="75"/>
      <c r="D30" s="76" t="s">
        <v>37</v>
      </c>
      <c r="E30" s="76"/>
      <c r="F30" s="77" t="s">
        <v>38</v>
      </c>
      <c r="G30" s="77"/>
    </row>
    <row r="31" spans="1:7" ht="15" customHeight="1">
      <c r="A31" s="35" t="s">
        <v>39</v>
      </c>
      <c r="B31" s="36" t="s">
        <v>40</v>
      </c>
      <c r="C31" s="37" t="s">
        <v>41</v>
      </c>
      <c r="D31" s="38" t="s">
        <v>42</v>
      </c>
      <c r="E31" s="38" t="s">
        <v>43</v>
      </c>
      <c r="F31" s="39" t="s">
        <v>26</v>
      </c>
      <c r="G31" s="40" t="s">
        <v>27</v>
      </c>
    </row>
    <row r="32" spans="1:7" ht="15" customHeight="1">
      <c r="A32" s="72" t="s">
        <v>55</v>
      </c>
      <c r="B32" s="42">
        <f t="shared" ref="B32:B36" si="2">DAY(D32)</f>
        <v>1</v>
      </c>
      <c r="C32" s="43">
        <f t="shared" ref="C32:C36" si="3" xml:space="preserve"> DAY(E32)</f>
        <v>7</v>
      </c>
      <c r="D32" s="44">
        <v>45383</v>
      </c>
      <c r="E32" s="44">
        <v>45389</v>
      </c>
      <c r="F32" s="45">
        <f>SUMIFS('BD COMPRAS REGISTRADAS'!I:I,'BD COMPRAS REGISTRADAS'!B:B, "&gt;="&amp;Tabla24[[#This Row],[Desde]],'BD COMPRAS REGISTRADAS'!B:B, "&lt;="&amp;Tabla24[[#This Row],[Hasta]],'BD COMPRAS REGISTRADAS'!A:A,"="&amp;Inicio!$D$13)</f>
        <v>10768</v>
      </c>
      <c r="G32" s="46">
        <f>SUMIFS('BD COMPRAS REGISTRADAS'!D:D,'BD COMPRAS REGISTRADAS'!B:B,"&gt;="&amp;Tabla24[[#This Row],[Desde]],'BD COMPRAS REGISTRADAS'!B:B,"&lt;="&amp;Tabla24[[#This Row],[Hasta]],'BD COMPRAS REGISTRADAS'!A:A,"="&amp;Inicio!$D$13)</f>
        <v>10000</v>
      </c>
    </row>
    <row r="33" spans="1:7" ht="15" customHeight="1">
      <c r="A33" s="72"/>
      <c r="B33" s="42">
        <f t="shared" si="2"/>
        <v>8</v>
      </c>
      <c r="C33" s="43">
        <f t="shared" si="3"/>
        <v>14</v>
      </c>
      <c r="D33" s="44">
        <v>45390</v>
      </c>
      <c r="E33" s="44">
        <v>45396</v>
      </c>
      <c r="F33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3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4" spans="1:7" ht="15" customHeight="1">
      <c r="A34" s="72"/>
      <c r="B34" s="42">
        <f t="shared" si="2"/>
        <v>15</v>
      </c>
      <c r="C34" s="43">
        <f t="shared" si="3"/>
        <v>21</v>
      </c>
      <c r="D34" s="44">
        <v>45397</v>
      </c>
      <c r="E34" s="44">
        <v>45403</v>
      </c>
      <c r="F34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4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5" spans="1:7" ht="15" customHeight="1">
      <c r="A35" s="72"/>
      <c r="B35" s="42">
        <f t="shared" si="2"/>
        <v>22</v>
      </c>
      <c r="C35" s="43">
        <f t="shared" si="3"/>
        <v>28</v>
      </c>
      <c r="D35" s="44">
        <v>45404</v>
      </c>
      <c r="E35" s="44">
        <v>45410</v>
      </c>
      <c r="F35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5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6" spans="1:7" ht="15" customHeight="1">
      <c r="A36" s="72"/>
      <c r="B36" s="42">
        <f t="shared" si="2"/>
        <v>29</v>
      </c>
      <c r="C36" s="43">
        <f t="shared" si="3"/>
        <v>30</v>
      </c>
      <c r="D36" s="44">
        <v>45411</v>
      </c>
      <c r="E36" s="44">
        <v>45412</v>
      </c>
      <c r="F36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6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7" spans="1:7" ht="15" customHeight="1">
      <c r="A37" s="41"/>
      <c r="B37" s="42"/>
      <c r="C37" s="43"/>
      <c r="D37" s="44"/>
      <c r="E37" s="44"/>
      <c r="F37" s="45"/>
      <c r="G37" s="46"/>
    </row>
    <row r="38" spans="1:7" ht="15" customHeight="1">
      <c r="A38" s="72" t="s">
        <v>56</v>
      </c>
      <c r="B38" s="42">
        <f>DAY(D38)</f>
        <v>1</v>
      </c>
      <c r="C38" s="43">
        <f xml:space="preserve"> DAY(E38)</f>
        <v>5</v>
      </c>
      <c r="D38" s="44">
        <v>45413</v>
      </c>
      <c r="E38" s="44">
        <v>45417</v>
      </c>
      <c r="F38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8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9" spans="1:7" ht="15" customHeight="1">
      <c r="A39" s="72" t="s">
        <v>44</v>
      </c>
      <c r="B39" s="42">
        <f>DAY(D39)</f>
        <v>6</v>
      </c>
      <c r="C39" s="43">
        <f xml:space="preserve"> DAY(E39)</f>
        <v>12</v>
      </c>
      <c r="D39" s="44">
        <v>45418</v>
      </c>
      <c r="E39" s="44">
        <v>45424</v>
      </c>
      <c r="F39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9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0" spans="1:7" ht="15" customHeight="1">
      <c r="A40" s="72" t="s">
        <v>44</v>
      </c>
      <c r="B40" s="42">
        <f>DAY(D40)</f>
        <v>13</v>
      </c>
      <c r="C40" s="43">
        <f xml:space="preserve"> DAY(E40)</f>
        <v>19</v>
      </c>
      <c r="D40" s="44">
        <v>45425</v>
      </c>
      <c r="E40" s="44">
        <v>45431</v>
      </c>
      <c r="F40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0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1" spans="1:7" ht="15" customHeight="1">
      <c r="A41" s="72" t="s">
        <v>44</v>
      </c>
      <c r="B41" s="42">
        <f>DAY(D41)</f>
        <v>20</v>
      </c>
      <c r="C41" s="43">
        <f xml:space="preserve"> DAY(E41)</f>
        <v>26</v>
      </c>
      <c r="D41" s="44">
        <v>45432</v>
      </c>
      <c r="E41" s="44">
        <v>45438</v>
      </c>
      <c r="F41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1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2" spans="1:7" ht="15" customHeight="1">
      <c r="A42" s="72" t="s">
        <v>44</v>
      </c>
      <c r="B42" s="42">
        <f>DAY(D42)</f>
        <v>27</v>
      </c>
      <c r="C42" s="43">
        <f xml:space="preserve"> DAY(E42)</f>
        <v>31</v>
      </c>
      <c r="D42" s="44">
        <v>45439</v>
      </c>
      <c r="E42" s="44">
        <v>45443</v>
      </c>
      <c r="F42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2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3" spans="1:7" ht="15" customHeight="1">
      <c r="A43" s="41"/>
      <c r="B43" s="42"/>
      <c r="C43" s="43"/>
      <c r="D43" s="44"/>
      <c r="E43" s="44"/>
      <c r="F43" s="45"/>
      <c r="G43" s="46"/>
    </row>
    <row r="44" spans="1:7" ht="15" customHeight="1">
      <c r="A44" s="72" t="s">
        <v>58</v>
      </c>
      <c r="B44" s="42">
        <f>DAY(D44)</f>
        <v>1</v>
      </c>
      <c r="C44" s="43">
        <f xml:space="preserve"> DAY(E44)</f>
        <v>2</v>
      </c>
      <c r="D44" s="44">
        <v>45444</v>
      </c>
      <c r="E44" s="44">
        <v>45445</v>
      </c>
      <c r="F44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4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5" spans="1:7" ht="15" customHeight="1">
      <c r="A45" s="72" t="s">
        <v>46</v>
      </c>
      <c r="B45" s="42">
        <f>DAY(D45)</f>
        <v>4</v>
      </c>
      <c r="C45" s="43">
        <f xml:space="preserve"> DAY(E45)</f>
        <v>10</v>
      </c>
      <c r="D45" s="44">
        <v>45447</v>
      </c>
      <c r="E45" s="44">
        <v>45453</v>
      </c>
      <c r="F45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5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6" spans="1:7" ht="15" customHeight="1">
      <c r="A46" s="72" t="s">
        <v>45</v>
      </c>
      <c r="B46" s="42">
        <f>DAY(D46)</f>
        <v>11</v>
      </c>
      <c r="C46" s="43">
        <f xml:space="preserve"> DAY(E46)</f>
        <v>17</v>
      </c>
      <c r="D46" s="44">
        <v>45454</v>
      </c>
      <c r="E46" s="44">
        <v>45460</v>
      </c>
      <c r="F46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6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7" spans="1:7" ht="15" customHeight="1">
      <c r="A47" s="72" t="s">
        <v>45</v>
      </c>
      <c r="B47" s="42">
        <f>DAY(D47)</f>
        <v>18</v>
      </c>
      <c r="C47" s="43">
        <f xml:space="preserve"> DAY(E47)</f>
        <v>24</v>
      </c>
      <c r="D47" s="44">
        <v>45461</v>
      </c>
      <c r="E47" s="44">
        <v>45467</v>
      </c>
      <c r="F47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7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8" spans="1:7" ht="15" customHeight="1">
      <c r="A48" s="72" t="s">
        <v>45</v>
      </c>
      <c r="B48" s="47">
        <f>DAY(D48)</f>
        <v>25</v>
      </c>
      <c r="C48" s="48">
        <f xml:space="preserve"> DAY(E48)</f>
        <v>30</v>
      </c>
      <c r="D48" s="49">
        <v>45468</v>
      </c>
      <c r="E48" s="49">
        <v>45473</v>
      </c>
      <c r="F48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8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9" spans="1:7" ht="15" customHeight="1">
      <c r="A49" s="73" t="s">
        <v>47</v>
      </c>
      <c r="B49" s="73"/>
      <c r="C49" s="73"/>
      <c r="D49" s="73"/>
      <c r="E49" s="73"/>
      <c r="F49" s="50">
        <f>SUBTOTAL(109,Tabla24[Total con y sin IVA])</f>
        <v>10768</v>
      </c>
      <c r="G49" s="50">
        <f>SUBTOTAL(109,Tabla24[Con IVA])</f>
        <v>10000</v>
      </c>
    </row>
    <row r="51" spans="1:7" ht="15" customHeight="1">
      <c r="A51" s="74" t="s">
        <v>34</v>
      </c>
      <c r="B51" s="74"/>
      <c r="C51" s="74"/>
      <c r="D51" s="74"/>
      <c r="E51" s="74"/>
      <c r="F51" s="74"/>
      <c r="G51" s="74"/>
    </row>
    <row r="52" spans="1:7" ht="15" customHeight="1">
      <c r="A52" s="74" t="s">
        <v>65</v>
      </c>
      <c r="B52" s="74"/>
      <c r="C52" s="74"/>
      <c r="D52" s="74"/>
      <c r="E52" s="74"/>
      <c r="F52" s="74"/>
      <c r="G52" s="74"/>
    </row>
    <row r="53" spans="1:7" ht="15" customHeight="1">
      <c r="A53" s="31"/>
      <c r="B53" s="31"/>
      <c r="C53" s="31"/>
      <c r="D53" s="32"/>
      <c r="E53" s="32"/>
      <c r="F53" s="33"/>
      <c r="G53" s="33"/>
    </row>
    <row r="54" spans="1:7" ht="15" customHeight="1">
      <c r="A54" s="34" t="s">
        <v>51</v>
      </c>
      <c r="B54" s="75" t="s">
        <v>36</v>
      </c>
      <c r="C54" s="75"/>
      <c r="D54" s="76" t="s">
        <v>37</v>
      </c>
      <c r="E54" s="76"/>
      <c r="F54" s="77" t="s">
        <v>38</v>
      </c>
      <c r="G54" s="77"/>
    </row>
    <row r="55" spans="1:7" ht="15" customHeight="1">
      <c r="A55" s="35" t="s">
        <v>39</v>
      </c>
      <c r="B55" s="36" t="s">
        <v>40</v>
      </c>
      <c r="C55" s="37" t="s">
        <v>41</v>
      </c>
      <c r="D55" s="38" t="s">
        <v>42</v>
      </c>
      <c r="E55" s="38" t="s">
        <v>43</v>
      </c>
      <c r="F55" s="39" t="s">
        <v>26</v>
      </c>
      <c r="G55" s="40" t="s">
        <v>27</v>
      </c>
    </row>
    <row r="56" spans="1:7" ht="15" customHeight="1">
      <c r="A56" s="72" t="s">
        <v>57</v>
      </c>
      <c r="B56" s="42">
        <f t="shared" ref="B56:B60" si="4">DAY(D56)</f>
        <v>1</v>
      </c>
      <c r="C56" s="43">
        <f t="shared" ref="C56:C60" si="5" xml:space="preserve"> DAY(E56)</f>
        <v>7</v>
      </c>
      <c r="D56" s="44">
        <v>45474</v>
      </c>
      <c r="E56" s="44">
        <v>45480</v>
      </c>
      <c r="F56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6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7" spans="1:7" ht="15" customHeight="1">
      <c r="A57" s="72"/>
      <c r="B57" s="42">
        <f t="shared" si="4"/>
        <v>8</v>
      </c>
      <c r="C57" s="43">
        <f t="shared" si="5"/>
        <v>14</v>
      </c>
      <c r="D57" s="44">
        <v>45481</v>
      </c>
      <c r="E57" s="44">
        <v>45487</v>
      </c>
      <c r="F57" s="45">
        <f>SUMIFS('BD COMPRAS REGISTRADAS'!I:I,'BD COMPRAS REGISTRADAS'!B:B, "&gt;="&amp;Tabla25[[#This Row],[Desde]],'BD COMPRAS REGISTRADAS'!B:B, "&lt;="&amp;Tabla25[[#This Row],[Hasta]],'BD COMPRAS REGISTRADAS'!A:A,"="&amp;Inicio!$D$13)</f>
        <v>24887</v>
      </c>
      <c r="G57" s="46">
        <f>SUMIFS('BD COMPRAS REGISTRADAS'!D:D,'BD COMPRAS REGISTRADAS'!B:B,"&gt;="&amp;Tabla25[[#This Row],[Desde]],'BD COMPRAS REGISTRADAS'!B:B,"&lt;="&amp;Tabla25[[#This Row],[Hasta]],'BD COMPRAS REGISTRADAS'!A:A,"="&amp;Inicio!$D$13)</f>
        <v>9000</v>
      </c>
    </row>
    <row r="58" spans="1:7" ht="15" customHeight="1">
      <c r="A58" s="72"/>
      <c r="B58" s="42">
        <f t="shared" si="4"/>
        <v>15</v>
      </c>
      <c r="C58" s="43">
        <f t="shared" si="5"/>
        <v>21</v>
      </c>
      <c r="D58" s="44">
        <v>45488</v>
      </c>
      <c r="E58" s="44">
        <v>45494</v>
      </c>
      <c r="F58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8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9" spans="1:7" ht="15" customHeight="1">
      <c r="A59" s="72"/>
      <c r="B59" s="42">
        <f t="shared" si="4"/>
        <v>22</v>
      </c>
      <c r="C59" s="43">
        <f t="shared" si="5"/>
        <v>28</v>
      </c>
      <c r="D59" s="44">
        <v>45495</v>
      </c>
      <c r="E59" s="44">
        <v>45501</v>
      </c>
      <c r="F59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9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0" spans="1:7" ht="15" customHeight="1">
      <c r="A60" s="72"/>
      <c r="B60" s="42">
        <f t="shared" si="4"/>
        <v>29</v>
      </c>
      <c r="C60" s="43">
        <f t="shared" si="5"/>
        <v>31</v>
      </c>
      <c r="D60" s="44">
        <v>45502</v>
      </c>
      <c r="E60" s="44">
        <v>45504</v>
      </c>
      <c r="F60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0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1" spans="1:7" ht="15" customHeight="1">
      <c r="A61" s="41"/>
      <c r="B61" s="42"/>
      <c r="C61" s="43"/>
      <c r="D61" s="44"/>
      <c r="E61" s="44"/>
      <c r="F61" s="45"/>
      <c r="G61" s="46"/>
    </row>
    <row r="62" spans="1:7" ht="15" customHeight="1">
      <c r="A62" s="72" t="s">
        <v>59</v>
      </c>
      <c r="B62" s="42">
        <f>DAY(D62)</f>
        <v>1</v>
      </c>
      <c r="C62" s="43">
        <f xml:space="preserve"> DAY(E62)</f>
        <v>4</v>
      </c>
      <c r="D62" s="44">
        <v>45505</v>
      </c>
      <c r="E62" s="44">
        <v>45508</v>
      </c>
      <c r="F62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2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3" spans="1:7" ht="15" customHeight="1">
      <c r="A63" s="72" t="s">
        <v>44</v>
      </c>
      <c r="B63" s="42">
        <f>DAY(D63)</f>
        <v>5</v>
      </c>
      <c r="C63" s="43">
        <f xml:space="preserve"> DAY(E63)</f>
        <v>11</v>
      </c>
      <c r="D63" s="44">
        <v>45509</v>
      </c>
      <c r="E63" s="44">
        <v>45515</v>
      </c>
      <c r="F63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3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4" spans="1:7" ht="15" customHeight="1">
      <c r="A64" s="72" t="s">
        <v>44</v>
      </c>
      <c r="B64" s="42">
        <f>DAY(D64)</f>
        <v>12</v>
      </c>
      <c r="C64" s="43">
        <f xml:space="preserve"> DAY(E64)</f>
        <v>18</v>
      </c>
      <c r="D64" s="44">
        <v>45516</v>
      </c>
      <c r="E64" s="44">
        <v>45522</v>
      </c>
      <c r="F64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4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5" spans="1:7" ht="15" customHeight="1">
      <c r="A65" s="72" t="s">
        <v>44</v>
      </c>
      <c r="B65" s="42">
        <f>DAY(D65)</f>
        <v>19</v>
      </c>
      <c r="C65" s="43">
        <f xml:space="preserve"> DAY(E65)</f>
        <v>25</v>
      </c>
      <c r="D65" s="44">
        <v>45523</v>
      </c>
      <c r="E65" s="44">
        <v>45529</v>
      </c>
      <c r="F65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5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6" spans="1:7" ht="15" customHeight="1">
      <c r="A66" s="72"/>
      <c r="B66" s="42">
        <f>DAY(D66)</f>
        <v>26</v>
      </c>
      <c r="C66" s="43">
        <f xml:space="preserve"> DAY(E66)</f>
        <v>31</v>
      </c>
      <c r="D66" s="44">
        <v>45530</v>
      </c>
      <c r="E66" s="44">
        <v>45535</v>
      </c>
      <c r="F66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6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7" spans="1:7" ht="15" customHeight="1">
      <c r="A67" s="41"/>
      <c r="B67" s="42"/>
      <c r="C67" s="43"/>
      <c r="D67" s="44"/>
      <c r="E67" s="44"/>
      <c r="F67" s="45"/>
      <c r="G67" s="46"/>
    </row>
    <row r="68" spans="1:7" ht="15" customHeight="1">
      <c r="A68" s="72" t="s">
        <v>60</v>
      </c>
      <c r="B68" s="42">
        <f t="shared" ref="B68:B73" si="6">DAY(D68)</f>
        <v>1</v>
      </c>
      <c r="C68" s="43">
        <f t="shared" ref="C68:C73" si="7" xml:space="preserve"> DAY(E68)</f>
        <v>1</v>
      </c>
      <c r="D68" s="44">
        <v>45536</v>
      </c>
      <c r="E68" s="44">
        <v>45536</v>
      </c>
      <c r="F68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8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9" spans="1:7" ht="15" customHeight="1">
      <c r="A69" s="72" t="s">
        <v>46</v>
      </c>
      <c r="B69" s="42">
        <f t="shared" si="6"/>
        <v>2</v>
      </c>
      <c r="C69" s="43">
        <f t="shared" si="7"/>
        <v>8</v>
      </c>
      <c r="D69" s="44">
        <v>45537</v>
      </c>
      <c r="E69" s="44">
        <v>45543</v>
      </c>
      <c r="F69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9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0" spans="1:7" ht="15" customHeight="1">
      <c r="A70" s="72" t="s">
        <v>45</v>
      </c>
      <c r="B70" s="42">
        <f t="shared" si="6"/>
        <v>9</v>
      </c>
      <c r="C70" s="43">
        <f t="shared" si="7"/>
        <v>15</v>
      </c>
      <c r="D70" s="44">
        <v>45544</v>
      </c>
      <c r="E70" s="44">
        <v>45550</v>
      </c>
      <c r="F70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0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1" spans="1:7" ht="15" customHeight="1">
      <c r="A71" s="72" t="s">
        <v>45</v>
      </c>
      <c r="B71" s="42">
        <f t="shared" si="6"/>
        <v>16</v>
      </c>
      <c r="C71" s="43">
        <f t="shared" si="7"/>
        <v>22</v>
      </c>
      <c r="D71" s="44">
        <v>45551</v>
      </c>
      <c r="E71" s="44">
        <v>45557</v>
      </c>
      <c r="F71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1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2" spans="1:7" ht="15" customHeight="1">
      <c r="A72" s="72"/>
      <c r="B72" s="42">
        <f t="shared" si="6"/>
        <v>23</v>
      </c>
      <c r="C72" s="43">
        <f t="shared" si="7"/>
        <v>29</v>
      </c>
      <c r="D72" s="44">
        <v>45558</v>
      </c>
      <c r="E72" s="44">
        <v>45564</v>
      </c>
      <c r="F72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2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3" spans="1:7" ht="15" customHeight="1">
      <c r="A73" s="72" t="s">
        <v>45</v>
      </c>
      <c r="B73" s="47">
        <f t="shared" si="6"/>
        <v>30</v>
      </c>
      <c r="C73" s="43">
        <f t="shared" si="7"/>
        <v>30</v>
      </c>
      <c r="D73" s="49">
        <v>45565</v>
      </c>
      <c r="E73" s="49">
        <v>45565</v>
      </c>
      <c r="F73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3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4" spans="1:7" ht="15" customHeight="1">
      <c r="A74" s="73" t="s">
        <v>47</v>
      </c>
      <c r="B74" s="73"/>
      <c r="C74" s="73"/>
      <c r="D74" s="73"/>
      <c r="E74" s="73"/>
      <c r="F74" s="50">
        <f>SUBTOTAL(109,Tabla25[Total con y sin IVA])</f>
        <v>24887</v>
      </c>
      <c r="G74" s="50">
        <f>SUBTOTAL(109,Tabla25[Con IVA])</f>
        <v>9000</v>
      </c>
    </row>
    <row r="75" spans="1:7" ht="15" customHeight="1">
      <c r="A75" s="74" t="s">
        <v>34</v>
      </c>
      <c r="B75" s="74"/>
      <c r="C75" s="74"/>
      <c r="D75" s="74"/>
      <c r="E75" s="74"/>
      <c r="F75" s="74"/>
      <c r="G75" s="74"/>
    </row>
    <row r="76" spans="1:7" ht="15" customHeight="1">
      <c r="A76" s="74" t="s">
        <v>64</v>
      </c>
      <c r="B76" s="74"/>
      <c r="C76" s="74"/>
      <c r="D76" s="74"/>
      <c r="E76" s="74"/>
      <c r="F76" s="74"/>
      <c r="G76" s="74"/>
    </row>
    <row r="77" spans="1:7" ht="15" customHeight="1">
      <c r="A77" s="31"/>
      <c r="B77" s="31"/>
      <c r="C77" s="31"/>
      <c r="D77" s="32"/>
      <c r="E77" s="32"/>
      <c r="F77" s="33"/>
      <c r="G77" s="33"/>
    </row>
    <row r="78" spans="1:7" ht="15" customHeight="1">
      <c r="A78" s="34" t="s">
        <v>35</v>
      </c>
      <c r="B78" s="75" t="s">
        <v>36</v>
      </c>
      <c r="C78" s="75"/>
      <c r="D78" s="76" t="s">
        <v>37</v>
      </c>
      <c r="E78" s="76"/>
      <c r="F78" s="77" t="s">
        <v>38</v>
      </c>
      <c r="G78" s="77"/>
    </row>
    <row r="79" spans="1:7" ht="15" customHeight="1">
      <c r="A79" s="35" t="s">
        <v>39</v>
      </c>
      <c r="B79" s="36" t="s">
        <v>40</v>
      </c>
      <c r="C79" s="37" t="s">
        <v>41</v>
      </c>
      <c r="D79" s="38" t="s">
        <v>42</v>
      </c>
      <c r="E79" s="38" t="s">
        <v>43</v>
      </c>
      <c r="F79" s="39" t="s">
        <v>26</v>
      </c>
      <c r="G79" s="40" t="s">
        <v>27</v>
      </c>
    </row>
    <row r="80" spans="1:7" ht="15" customHeight="1">
      <c r="A80" s="72" t="s">
        <v>61</v>
      </c>
      <c r="B80" s="42">
        <f t="shared" ref="B80:B84" si="8">DAY(D80)</f>
        <v>1</v>
      </c>
      <c r="C80" s="43">
        <f t="shared" ref="C80:C84" si="9" xml:space="preserve"> DAY(E80)</f>
        <v>6</v>
      </c>
      <c r="D80" s="44">
        <v>45566</v>
      </c>
      <c r="E80" s="44">
        <v>45571</v>
      </c>
      <c r="F80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0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1" spans="1:7" ht="15" customHeight="1">
      <c r="A81" s="72"/>
      <c r="B81" s="42">
        <f t="shared" si="8"/>
        <v>7</v>
      </c>
      <c r="C81" s="43">
        <f t="shared" si="9"/>
        <v>13</v>
      </c>
      <c r="D81" s="44">
        <v>45572</v>
      </c>
      <c r="E81" s="44">
        <v>45578</v>
      </c>
      <c r="F81" s="45">
        <f>SUMIFS('BD COMPRAS REGISTRADAS'!I:I,'BD COMPRAS REGISTRADAS'!B:B, "&gt;="&amp;Tabla26[[#This Row],[Desde]],'BD COMPRAS REGISTRADAS'!B:B, "&lt;="&amp;Tabla26[[#This Row],[Hasta]],'BD COMPRAS REGISTRADAS'!A:A,"="&amp;Inicio!$D$13)</f>
        <v>24887</v>
      </c>
      <c r="G81" s="46">
        <f>SUMIFS('BD COMPRAS REGISTRADAS'!D:D,'BD COMPRAS REGISTRADAS'!B:B,"&gt;="&amp;Tabla26[[#This Row],[Desde]],'BD COMPRAS REGISTRADAS'!B:B,"&lt;="&amp;Tabla26[[#This Row],[Hasta]],'BD COMPRAS REGISTRADAS'!A:A,"="&amp;Inicio!$D$13)</f>
        <v>9000</v>
      </c>
    </row>
    <row r="82" spans="1:7" ht="15" customHeight="1">
      <c r="A82" s="72"/>
      <c r="B82" s="42">
        <f t="shared" si="8"/>
        <v>14</v>
      </c>
      <c r="C82" s="43">
        <f t="shared" si="9"/>
        <v>20</v>
      </c>
      <c r="D82" s="44">
        <v>45579</v>
      </c>
      <c r="E82" s="44">
        <v>45585</v>
      </c>
      <c r="F82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2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3" spans="1:7" ht="15" customHeight="1">
      <c r="A83" s="72"/>
      <c r="B83" s="42">
        <f t="shared" si="8"/>
        <v>21</v>
      </c>
      <c r="C83" s="43">
        <f t="shared" si="9"/>
        <v>27</v>
      </c>
      <c r="D83" s="44">
        <v>45586</v>
      </c>
      <c r="E83" s="44">
        <v>45592</v>
      </c>
      <c r="F83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3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4" spans="1:7" ht="15" customHeight="1">
      <c r="A84" s="72"/>
      <c r="B84" s="42">
        <f t="shared" si="8"/>
        <v>28</v>
      </c>
      <c r="C84" s="43">
        <f t="shared" si="9"/>
        <v>31</v>
      </c>
      <c r="D84" s="44">
        <v>45593</v>
      </c>
      <c r="E84" s="44">
        <v>45596</v>
      </c>
      <c r="F84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4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5" spans="1:7" ht="15" customHeight="1">
      <c r="A85" s="41"/>
      <c r="B85" s="42"/>
      <c r="C85" s="43"/>
      <c r="D85" s="44"/>
      <c r="E85" s="44"/>
      <c r="F85" s="45"/>
      <c r="G85" s="46"/>
    </row>
    <row r="86" spans="1:7" ht="15" customHeight="1">
      <c r="A86" s="72" t="s">
        <v>62</v>
      </c>
      <c r="B86" s="42">
        <f>DAY(D86)</f>
        <v>1</v>
      </c>
      <c r="C86" s="43">
        <f xml:space="preserve"> DAY(E86)</f>
        <v>3</v>
      </c>
      <c r="D86" s="44">
        <v>45597</v>
      </c>
      <c r="E86" s="44">
        <v>45599</v>
      </c>
      <c r="F86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6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7" spans="1:7" ht="15" customHeight="1">
      <c r="A87" s="72" t="s">
        <v>44</v>
      </c>
      <c r="B87" s="42">
        <f>DAY(D87)</f>
        <v>4</v>
      </c>
      <c r="C87" s="43">
        <f xml:space="preserve"> DAY(E87)</f>
        <v>10</v>
      </c>
      <c r="D87" s="44">
        <v>45600</v>
      </c>
      <c r="E87" s="44">
        <v>45606</v>
      </c>
      <c r="F87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7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8" spans="1:7" ht="15" customHeight="1">
      <c r="A88" s="72" t="s">
        <v>44</v>
      </c>
      <c r="B88" s="42">
        <f>DAY(D88)</f>
        <v>11</v>
      </c>
      <c r="C88" s="43">
        <f xml:space="preserve"> DAY(E88)</f>
        <v>17</v>
      </c>
      <c r="D88" s="44">
        <v>45607</v>
      </c>
      <c r="E88" s="44">
        <v>45613</v>
      </c>
      <c r="F88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8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9" spans="1:7" ht="15" customHeight="1">
      <c r="A89" s="72" t="s">
        <v>44</v>
      </c>
      <c r="B89" s="42">
        <f>DAY(D89)</f>
        <v>18</v>
      </c>
      <c r="C89" s="43">
        <f xml:space="preserve"> DAY(E89)</f>
        <v>24</v>
      </c>
      <c r="D89" s="44">
        <v>45614</v>
      </c>
      <c r="E89" s="44">
        <v>45620</v>
      </c>
      <c r="F89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9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0" spans="1:7" ht="15" customHeight="1">
      <c r="A90" s="72" t="s">
        <v>44</v>
      </c>
      <c r="B90" s="42">
        <f>DAY(D90)</f>
        <v>25</v>
      </c>
      <c r="C90" s="43">
        <f xml:space="preserve"> DAY(E90)</f>
        <v>30</v>
      </c>
      <c r="D90" s="44">
        <v>45621</v>
      </c>
      <c r="E90" s="44">
        <v>45626</v>
      </c>
      <c r="F90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0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1" spans="1:7" ht="15" customHeight="1">
      <c r="A91" s="41"/>
      <c r="B91" s="42"/>
      <c r="C91" s="43"/>
      <c r="D91" s="44"/>
      <c r="E91" s="44"/>
      <c r="F91" s="45"/>
      <c r="G91" s="46"/>
    </row>
    <row r="92" spans="1:7" ht="15" customHeight="1">
      <c r="A92" s="72" t="s">
        <v>63</v>
      </c>
      <c r="B92" s="42">
        <f t="shared" ref="B92:B97" si="10">DAY(D92)</f>
        <v>1</v>
      </c>
      <c r="C92" s="43">
        <f t="shared" ref="C92:C97" si="11" xml:space="preserve"> DAY(E92)</f>
        <v>1</v>
      </c>
      <c r="D92" s="44">
        <v>45627</v>
      </c>
      <c r="E92" s="44">
        <v>45627</v>
      </c>
      <c r="F92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2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3" spans="1:7" ht="15" customHeight="1">
      <c r="A93" s="72" t="s">
        <v>46</v>
      </c>
      <c r="B93" s="42">
        <f t="shared" si="10"/>
        <v>2</v>
      </c>
      <c r="C93" s="43">
        <f t="shared" si="11"/>
        <v>8</v>
      </c>
      <c r="D93" s="44">
        <v>45628</v>
      </c>
      <c r="E93" s="44">
        <v>45634</v>
      </c>
      <c r="F93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3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4" spans="1:7" ht="15" customHeight="1">
      <c r="A94" s="72" t="s">
        <v>45</v>
      </c>
      <c r="B94" s="42">
        <f t="shared" si="10"/>
        <v>9</v>
      </c>
      <c r="C94" s="43">
        <f t="shared" si="11"/>
        <v>15</v>
      </c>
      <c r="D94" s="44">
        <v>45635</v>
      </c>
      <c r="E94" s="44">
        <v>45641</v>
      </c>
      <c r="F94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4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5" spans="1:7" ht="15" customHeight="1">
      <c r="A95" s="72" t="s">
        <v>45</v>
      </c>
      <c r="B95" s="42">
        <f t="shared" si="10"/>
        <v>16</v>
      </c>
      <c r="C95" s="43">
        <f t="shared" si="11"/>
        <v>22</v>
      </c>
      <c r="D95" s="44">
        <v>45642</v>
      </c>
      <c r="E95" s="44">
        <v>45648</v>
      </c>
      <c r="F95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5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6" spans="1:7" ht="15" customHeight="1">
      <c r="A96" s="72"/>
      <c r="B96" s="42">
        <f t="shared" si="10"/>
        <v>23</v>
      </c>
      <c r="C96" s="43">
        <f t="shared" si="11"/>
        <v>29</v>
      </c>
      <c r="D96" s="44">
        <v>45649</v>
      </c>
      <c r="E96" s="44">
        <v>45655</v>
      </c>
      <c r="F96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6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7" spans="1:7" ht="15" customHeight="1">
      <c r="A97" s="72" t="s">
        <v>45</v>
      </c>
      <c r="B97" s="47">
        <f t="shared" si="10"/>
        <v>30</v>
      </c>
      <c r="C97" s="48">
        <f t="shared" si="11"/>
        <v>31</v>
      </c>
      <c r="D97" s="49">
        <v>45656</v>
      </c>
      <c r="E97" s="49">
        <v>45657</v>
      </c>
      <c r="F97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7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8" spans="1:7" ht="15" customHeight="1">
      <c r="A98" s="73" t="s">
        <v>47</v>
      </c>
      <c r="B98" s="73"/>
      <c r="C98" s="73"/>
      <c r="D98" s="73"/>
      <c r="E98" s="73"/>
      <c r="F98" s="50">
        <f>SUBTOTAL(109,Tabla26[Total con y sin IVA])</f>
        <v>24887</v>
      </c>
      <c r="G98" s="50">
        <f>SUBTOTAL(109,Tabla26[Con IVA])</f>
        <v>9000</v>
      </c>
    </row>
  </sheetData>
  <mergeCells count="36">
    <mergeCell ref="B30:C30"/>
    <mergeCell ref="D30:E30"/>
    <mergeCell ref="F30:G30"/>
    <mergeCell ref="A3:G3"/>
    <mergeCell ref="A4:G4"/>
    <mergeCell ref="B6:C6"/>
    <mergeCell ref="D6:E6"/>
    <mergeCell ref="F6:G6"/>
    <mergeCell ref="A8:A12"/>
    <mergeCell ref="A14:A18"/>
    <mergeCell ref="A20:A24"/>
    <mergeCell ref="A25:E25"/>
    <mergeCell ref="A27:G27"/>
    <mergeCell ref="A28:G28"/>
    <mergeCell ref="A68:A73"/>
    <mergeCell ref="A32:A36"/>
    <mergeCell ref="A38:A42"/>
    <mergeCell ref="A44:A48"/>
    <mergeCell ref="A49:E49"/>
    <mergeCell ref="A51:G51"/>
    <mergeCell ref="A52:G52"/>
    <mergeCell ref="B54:C54"/>
    <mergeCell ref="D54:E54"/>
    <mergeCell ref="F54:G54"/>
    <mergeCell ref="A56:A60"/>
    <mergeCell ref="A62:A66"/>
    <mergeCell ref="A80:A84"/>
    <mergeCell ref="A86:A90"/>
    <mergeCell ref="A92:A97"/>
    <mergeCell ref="A98:E98"/>
    <mergeCell ref="A74:E74"/>
    <mergeCell ref="A75:G75"/>
    <mergeCell ref="A76:G76"/>
    <mergeCell ref="B78:C78"/>
    <mergeCell ref="D78:E78"/>
    <mergeCell ref="F78:G78"/>
  </mergeCells>
  <pageMargins left="0.7" right="0.7" top="0.75" bottom="0.75" header="0.3" footer="0.3"/>
  <pageSetup orientation="portrait" r:id="rId1"/>
  <ignoredErrors>
    <ignoredError sqref="F80 G8 G32" calculatedColumn="1"/>
  </ignoredErrors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K5" sqref="K5"/>
    </sheetView>
  </sheetViews>
  <sheetFormatPr baseColWidth="10" defaultColWidth="14.1796875" defaultRowHeight="15" customHeight="1"/>
  <cols>
    <col min="1" max="1" width="14.1796875" style="1"/>
    <col min="2" max="2" width="41.54296875" style="14" customWidth="1"/>
    <col min="3" max="4" width="14.1796875" style="1"/>
    <col min="5" max="6" width="14.1796875" style="15"/>
    <col min="7" max="16384" width="14.1796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79" t="s">
        <v>12</v>
      </c>
      <c r="B5" s="79"/>
      <c r="C5" s="79"/>
      <c r="D5" s="79"/>
      <c r="E5" s="79"/>
      <c r="F5" s="79"/>
      <c r="G5" s="79"/>
    </row>
    <row r="6" spans="1:9" ht="27.75" customHeight="1">
      <c r="A6" s="78" t="s">
        <v>13</v>
      </c>
      <c r="B6" s="78"/>
      <c r="C6" s="78"/>
      <c r="D6" s="78"/>
      <c r="E6" s="78"/>
      <c r="F6" s="78"/>
      <c r="G6" s="78"/>
    </row>
    <row r="7" spans="1:9" customFormat="1" ht="15" customHeight="1">
      <c r="A7" s="1"/>
      <c r="B7" s="14"/>
      <c r="C7" s="1"/>
      <c r="D7" s="1"/>
      <c r="E7" s="15"/>
      <c r="F7" s="15"/>
      <c r="G7" s="1"/>
    </row>
    <row r="8" spans="1:9" s="13" customFormat="1" ht="15" customHeight="1">
      <c r="B8" s="11" t="s">
        <v>70</v>
      </c>
      <c r="C8" s="51" t="str">
        <f>Inicio!D13</f>
        <v>Fabricación artesanal de calzado</v>
      </c>
    </row>
    <row r="9" spans="1:9" customFormat="1" ht="15" customHeight="1">
      <c r="B9" s="17" t="s">
        <v>71</v>
      </c>
      <c r="C9" s="52" t="s">
        <v>49</v>
      </c>
      <c r="D9" s="1"/>
      <c r="E9" s="15"/>
      <c r="F9" s="15"/>
    </row>
    <row r="10" spans="1:9" customFormat="1" ht="15" customHeight="1">
      <c r="B10" s="11" t="s">
        <v>6</v>
      </c>
      <c r="C10" s="12">
        <f>IF(C9="I Trimestre",'Libro de Compras'!F25,IF(C9="II Trimestre",'Libro de Compras'!F49,IF(C9="III Trimestre",'Libro de Compras'!F74,'Libro de Compras'!F98)))</f>
        <v>126161</v>
      </c>
      <c r="D10" s="12"/>
      <c r="E10" s="10"/>
      <c r="F10" s="10"/>
    </row>
    <row r="11" spans="1:9" customFormat="1" ht="15" customHeight="1">
      <c r="B11" s="9"/>
      <c r="E11" s="10"/>
      <c r="F11" s="10"/>
    </row>
    <row r="12" spans="1:9" s="13" customFormat="1" ht="15" customHeight="1">
      <c r="B12" s="9"/>
      <c r="C12"/>
      <c r="D12" s="10" t="s">
        <v>3</v>
      </c>
      <c r="E12" s="10" t="s">
        <v>7</v>
      </c>
      <c r="F12" s="10" t="s">
        <v>8</v>
      </c>
    </row>
    <row r="13" spans="1:9" customFormat="1" ht="15" customHeight="1">
      <c r="B13" s="14"/>
      <c r="E13" s="10"/>
      <c r="F13" s="10"/>
    </row>
    <row r="14" spans="1:9" s="13" customFormat="1" ht="15" customHeight="1">
      <c r="B14" s="11" t="s">
        <v>10</v>
      </c>
      <c r="D14" s="56">
        <f>IF(C9="I Trimestre",'Libro de Compras'!F25,IF(C9="II Trimestre",'Libro de Compras'!F49,IF(C9="III Trimestre",'Libro de Compras'!F74,'Libro de Compras'!F98)))</f>
        <v>126161</v>
      </c>
      <c r="E14" s="22">
        <f>IF(OR(Inicio!$D$13=Inicio!Z1,Inicio!$D$13=Inicio!Z3),0.02,IF(OR(Inicio!$D$13=Inicio!Z2,Inicio!$D$13=Inicio!Z4,Inicio!$D$13=Inicio!Z5,Inicio!$D$13=Inicio!Z6,Inicio!$D$13=Inicio!Z7,Inicio!$D$13=Inicio!Z8,Inicio!$D$13=Inicio!Z10,Inicio!$D$13=Inicio!Z11,Inicio!$D$13=Inicio!Z12),0.01,IF(Inicio!$D$13=Inicio!Z9,0.025,IF(Inicio!$D$13=Inicio!Z13,0.033,IF(Inicio!$D$13=Inicio!Z14,0.5,0)))))</f>
        <v>0.01</v>
      </c>
      <c r="F14" s="53">
        <f>E14*C10</f>
        <v>1261.6100000000001</v>
      </c>
    </row>
    <row r="15" spans="1:9" customFormat="1" ht="15" customHeight="1">
      <c r="B15" s="9"/>
      <c r="D15" s="24"/>
      <c r="E15" s="10"/>
      <c r="F15" s="54"/>
    </row>
    <row r="16" spans="1:9" customFormat="1" ht="15" customHeight="1">
      <c r="B16" s="11" t="s">
        <v>9</v>
      </c>
      <c r="C16" s="13"/>
      <c r="D16" s="55">
        <f>IF(C9="I Trimestre",'Libro de Compras'!G25,IF(C9="II Trimestre",'Libro de Compras'!G49,IF(C9="III Trimestre",'Libro de Compras'!G74,'Libro de Compras'!G98)))</f>
        <v>27100</v>
      </c>
      <c r="E16" s="16">
        <f>IF(OR(Inicio!$D$13=Inicio!$Z$1,Inicio!$D$13=Inicio!$Z$3),0.04,IF(OR(Inicio!$D$13=Inicio!$Z$2,Inicio!$D$13=Inicio!$Z$4,Inicio!$D$13=Inicio!$Z$5,Inicio!$D$13=Inicio!$Z$8,Inicio!$D$13=Inicio!$Z$10),0.02,IF(Inicio!$D$13=Inicio!$Z$4,0.0033,IF(OR(Inicio!$D$13=Inicio!$Z$4,Inicio!$D$13=Inicio!$Z$10),0.00125,IF(Inicio!$D$13=Inicio!$Z$6,0.026,IF(Inicio!$D$13=Inicio!$Z$7,0.065,IF(Inicio!$D$13=Inicio!$Z$11,0.058,IF(Inicio!$D$13=Inicio!$Z$12,0.052,0))))))))</f>
        <v>2.5999999999999999E-2</v>
      </c>
      <c r="F16" s="53">
        <f>E16*C10</f>
        <v>3280.1859999999997</v>
      </c>
    </row>
    <row r="17" spans="2:6" customFormat="1" ht="15" customHeight="1">
      <c r="B17" s="9"/>
      <c r="E17" s="10"/>
      <c r="F17" s="10"/>
    </row>
    <row r="18" spans="2:6" customFormat="1" ht="15" customHeight="1">
      <c r="B18" s="9"/>
      <c r="E18" s="10"/>
      <c r="F18" s="10"/>
    </row>
    <row r="19" spans="2:6" customFormat="1" ht="15" customHeight="1">
      <c r="B19" s="9"/>
      <c r="D19" s="1"/>
      <c r="E19" s="10"/>
      <c r="F19" s="10"/>
    </row>
    <row r="20" spans="2:6" customFormat="1" ht="15" customHeight="1">
      <c r="B20" s="9"/>
      <c r="C20" s="1"/>
      <c r="E20" s="10"/>
      <c r="F20" s="10"/>
    </row>
    <row r="21" spans="2:6" customFormat="1" ht="15" customHeight="1">
      <c r="B21" s="9"/>
      <c r="E21" s="10"/>
      <c r="F21" s="10"/>
    </row>
    <row r="22" spans="2:6" customFormat="1" ht="15" customHeight="1">
      <c r="B22" s="9"/>
      <c r="E22" s="10"/>
      <c r="F22" s="10"/>
    </row>
    <row r="23" spans="2:6" customFormat="1" ht="15" customHeight="1">
      <c r="B23" s="9"/>
      <c r="E23" s="10"/>
      <c r="F23" s="10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8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2377C0-CAB4-4C01-89E8-AF58EF109BD9}">
          <x14:formula1>
            <xm:f>'Libro de Compras'!$I$5:$I$8</xm:f>
          </x14:formula1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:K31"/>
  <sheetViews>
    <sheetView zoomScale="70" zoomScaleNormal="70" workbookViewId="0">
      <selection activeCell="E4" sqref="E4"/>
    </sheetView>
  </sheetViews>
  <sheetFormatPr baseColWidth="10" defaultColWidth="15.6328125" defaultRowHeight="15" customHeight="1"/>
  <cols>
    <col min="1" max="16384" width="15.6328125" style="1"/>
  </cols>
  <sheetData>
    <row r="1" spans="1:11" ht="15" customHeight="1">
      <c r="A1" s="2" t="str">
        <f>"Restaurantes, cafés, sodas"</f>
        <v>Restaurantes, cafés, sodas</v>
      </c>
    </row>
    <row r="4" spans="1:11" ht="15" customHeight="1">
      <c r="A4" s="2" t="str">
        <f>"Fabricación de objetos de barro, loza, cerámica y porcelana"</f>
        <v>Fabricación de objetos de barro, loza, cerámica y porcelana</v>
      </c>
      <c r="E4" s="2" t="str">
        <f>"Panadería, pastelería, repostería"</f>
        <v>Panadería, pastelería, repostería</v>
      </c>
      <c r="H4" s="2" t="str">
        <f>"Estudios fotográficos"</f>
        <v>Estudios fotográficos</v>
      </c>
      <c r="K4" s="2" t="str">
        <f>"Floristerías"</f>
        <v>Floristerías</v>
      </c>
    </row>
    <row r="14" spans="1:11" ht="15" customHeight="1">
      <c r="A14" s="2" t="str">
        <f>"Bar, cantina, taberna, o establecimientos similares"</f>
        <v>Bar, cantina, taberna, o establecimientos similares</v>
      </c>
      <c r="E14" s="2" t="str">
        <f>"Fabricación artesanal de calzado"</f>
        <v>Fabricación artesanal de calzado</v>
      </c>
      <c r="H14" s="2" t="str">
        <f>"Pescadores artesanales en pequeña escala"</f>
        <v>Pescadores artesanales en pequeña escala</v>
      </c>
      <c r="K14" s="2" t="str">
        <f>"Fabricación productos metálicos estructurales"</f>
        <v>Fabricación productos metálicos estructurales</v>
      </c>
    </row>
    <row r="22" spans="1:11" ht="15" customHeight="1">
      <c r="E22" s="2" t="str">
        <f>"Fabricación muebles / accesorios"</f>
        <v>Fabricación muebles / accesorios</v>
      </c>
      <c r="H22" s="2" t="str">
        <f>"Pequeños productores agrícolas (ferias agricultor)"</f>
        <v>Pequeños productores agrícolas (ferias agricultor)</v>
      </c>
      <c r="K22" s="2" t="str">
        <f>"Pescadores artesanales medios"</f>
        <v>Pescadores artesanales medios</v>
      </c>
    </row>
    <row r="23" spans="1:11" ht="15" customHeight="1">
      <c r="A23" s="2" t="str">
        <f>"Comercio minorista (Tiendas-Pulperías, etc)"</f>
        <v>Comercio minorista (Tiendas-Pulperías, etc)</v>
      </c>
    </row>
    <row r="31" spans="1:11" ht="15" customHeight="1">
      <c r="K31" s="2" t="str">
        <f>"Taxi (solo un vehículo)"</f>
        <v>Taxi (solo un vehículo)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Libro de Compras</vt:lpstr>
      <vt:lpstr>D-105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Never Mind</cp:lastModifiedBy>
  <dcterms:created xsi:type="dcterms:W3CDTF">2024-03-15T00:28:37Z</dcterms:created>
  <dcterms:modified xsi:type="dcterms:W3CDTF">2024-04-19T22:46:04Z</dcterms:modified>
</cp:coreProperties>
</file>